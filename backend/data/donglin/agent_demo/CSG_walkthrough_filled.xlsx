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自动回填说明" sheetId="1" state="visible" r:id="rId1"/>
    <sheet xmlns:r="http://schemas.openxmlformats.org/officeDocument/2006/relationships" name="主营业务收入细节测试（从合同到明细账）" sheetId="2" state="visible" r:id="rId2"/>
    <sheet xmlns:r="http://schemas.openxmlformats.org/officeDocument/2006/relationships" name="主营业务收入细节测试（从明细账到合同）" sheetId="3" state="visible" r:id="rId3"/>
  </sheets>
  <definedNames>
    <definedName name="DocId">"HA"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47">
    <font>
      <name val="宋体"/>
      <color theme="1"/>
      <sz val="10"/>
    </font>
    <font>
      <name val="宋体"/>
      <b val="1"/>
      <sz val="16"/>
    </font>
    <font>
      <name val="Arial Narrow"/>
      <b val="1"/>
      <sz val="16"/>
    </font>
    <font>
      <name val="Arial Narrow"/>
      <sz val="12"/>
    </font>
    <font>
      <name val="Arial Narrow"/>
      <b val="1"/>
      <color rgb="FF0000FF"/>
      <sz val="10"/>
    </font>
    <font>
      <name val="Arial Narrow"/>
      <sz val="10"/>
    </font>
    <font>
      <name val="Arial Narrow"/>
      <sz val="9"/>
    </font>
    <font>
      <name val="Arial Narrow"/>
      <b val="1"/>
      <sz val="10"/>
    </font>
    <font>
      <name val="Arial Narrow"/>
      <b val="1"/>
      <color rgb="FFFF0000"/>
      <sz val="10"/>
    </font>
    <font>
      <name val="宋体"/>
      <color rgb="FFFF0000"/>
      <sz val="10"/>
    </font>
    <font>
      <name val="宋体"/>
      <sz val="10"/>
    </font>
    <font>
      <name val="宋体"/>
      <sz val="10"/>
    </font>
    <font>
      <name val="宋体"/>
      <color indexed="8"/>
      <sz val="8"/>
    </font>
    <font>
      <name val="宋体"/>
      <b val="1"/>
      <sz val="10"/>
    </font>
    <font>
      <name val="Arial Narrow"/>
      <sz val="16"/>
    </font>
    <font>
      <name val="宋体"/>
      <b val="1"/>
      <color indexed="8"/>
      <sz val="16"/>
    </font>
    <font>
      <name val="Arial Narrow"/>
      <b val="1"/>
      <color indexed="8"/>
      <sz val="16"/>
    </font>
    <font>
      <name val="等线"/>
      <sz val="10"/>
    </font>
    <font>
      <name val="Arial Narrow"/>
      <color rgb="FF0000CC"/>
      <sz val="10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宋体"/>
      <color rgb="FF0000CC"/>
      <sz val="10"/>
    </font>
    <font>
      <name val="微软雅黑"/>
      <sz val="10"/>
    </font>
    <font>
      <name val="宋体"/>
      <b val="1"/>
      <sz val="10"/>
    </font>
    <font>
      <name val="宋体"/>
      <sz val="9"/>
    </font>
    <font>
      <name val="宋体"/>
      <b val="1"/>
      <color rgb="FFFF0000"/>
      <sz val="10"/>
    </font>
    <font>
      <name val="宋体"/>
      <sz val="9"/>
    </font>
    <font>
      <name val="宋体"/>
      <b val="1"/>
      <sz val="9"/>
    </font>
    <font>
      <b val="1"/>
      <sz val="13"/>
    </font>
  </fonts>
  <fills count="39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4" tint="0.59999"/>
      </patternFill>
    </fill>
    <fill>
      <patternFill patternType="solid">
        <fgColor rgb="FFFFC0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E5E7EB"/>
      </patternFill>
    </fill>
    <fill>
      <patternFill patternType="solid">
        <fgColor rgb="00FDE68A"/>
      </patternFill>
    </fill>
    <fill>
      <patternFill patternType="solid">
        <fgColor rgb="00FCA5A5"/>
      </patternFill>
    </fill>
  </fills>
  <borders count="33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auto="1"/>
      </left>
      <top style="thin">
        <color auto="1"/>
      </top>
    </border>
    <border>
      <top style="thin">
        <color indexed="8"/>
      </top>
    </border>
    <border>
      <top style="thin">
        <color auto="1"/>
      </top>
    </border>
    <border>
      <right style="thin">
        <color auto="1"/>
      </right>
      <top style="thin">
        <color indexed="8"/>
      </top>
    </border>
    <border>
      <left style="thin">
        <color auto="1"/>
      </left>
      <bottom style="thin">
        <color auto="1"/>
      </bottom>
    </border>
    <border>
      <bottom style="thin">
        <color auto="1"/>
      </bottom>
    </border>
    <border>
      <right style="thin">
        <color auto="1"/>
      </right>
      <bottom style="thin">
        <color auto="1"/>
      </bottom>
    </border>
    <border>
      <right style="thin">
        <color auto="1"/>
      </right>
      <top style="thin">
        <color auto="1"/>
      </top>
    </border>
    <border>
      <left style="thin">
        <color auto="1"/>
      </left>
    </border>
    <border>
      <right style="thin">
        <color auto="1"/>
      </righ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top style="thin">
        <color indexed="8"/>
      </top>
      <bottom style="thin">
        <color auto="1"/>
      </bottom>
    </border>
    <border>
      <right style="thin">
        <color auto="1"/>
      </right>
      <top style="thin">
        <color indexed="8"/>
      </top>
      <bottom style="thin">
        <color auto="1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</border>
    <border>
      <left style="thin">
        <color rgb="00B7B7B7"/>
      </left>
      <right style="thin">
        <color rgb="00B7B7B7"/>
      </right>
    </border>
    <border>
      <left style="thin">
        <color rgb="00B7B7B7"/>
      </left>
      <right style="thin">
        <color rgb="00B7B7B7"/>
      </right>
      <bottom style="thin">
        <color rgb="00B7B7B7"/>
      </bottom>
    </border>
  </borders>
  <cellStyleXfs count="49">
    <xf numFmtId="0" fontId="0" fillId="0" borderId="0" applyAlignment="1">
      <alignment vertical="center"/>
    </xf>
    <xf numFmtId="43" fontId="38" fillId="0" borderId="0" applyAlignment="1">
      <alignment vertical="center"/>
    </xf>
    <xf numFmtId="44" fontId="38" fillId="0" borderId="0" applyAlignment="1">
      <alignment vertical="center"/>
    </xf>
    <xf numFmtId="9" fontId="38" fillId="0" borderId="0" applyAlignment="1">
      <alignment vertical="center"/>
    </xf>
    <xf numFmtId="41" fontId="38" fillId="0" borderId="0" applyAlignment="1">
      <alignment vertical="center"/>
    </xf>
    <xf numFmtId="42" fontId="38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38" fillId="5" borderId="19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20" applyAlignment="1">
      <alignment vertical="center"/>
    </xf>
    <xf numFmtId="0" fontId="26" fillId="0" borderId="20" applyAlignment="1">
      <alignment vertical="center"/>
    </xf>
    <xf numFmtId="0" fontId="27" fillId="0" borderId="21" applyAlignment="1">
      <alignment vertical="center"/>
    </xf>
    <xf numFmtId="0" fontId="27" fillId="0" borderId="0" applyAlignment="1">
      <alignment vertical="center"/>
    </xf>
    <xf numFmtId="0" fontId="28" fillId="6" borderId="22" applyAlignment="1">
      <alignment vertical="center"/>
    </xf>
    <xf numFmtId="0" fontId="29" fillId="7" borderId="23" applyAlignment="1">
      <alignment vertical="center"/>
    </xf>
    <xf numFmtId="0" fontId="30" fillId="7" borderId="22" applyAlignment="1">
      <alignment vertical="center"/>
    </xf>
    <xf numFmtId="0" fontId="31" fillId="8" borderId="24" applyAlignment="1">
      <alignment vertical="center"/>
    </xf>
    <xf numFmtId="0" fontId="32" fillId="0" borderId="25" applyAlignment="1">
      <alignment vertical="center"/>
    </xf>
    <xf numFmtId="0" fontId="33" fillId="0" borderId="26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8" fillId="14" borderId="0" applyAlignment="1">
      <alignment vertical="center"/>
    </xf>
    <xf numFmtId="0" fontId="37" fillId="15" borderId="0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7" fillId="19" borderId="0" applyAlignment="1">
      <alignment vertical="center"/>
    </xf>
    <xf numFmtId="0" fontId="37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7" fillId="27" borderId="0" applyAlignment="1">
      <alignment vertical="center"/>
    </xf>
    <xf numFmtId="0" fontId="37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7" fillId="31" borderId="0" applyAlignment="1">
      <alignment vertical="center"/>
    </xf>
    <xf numFmtId="0" fontId="37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7" fillId="35" borderId="0" applyAlignment="1">
      <alignment vertical="center"/>
    </xf>
  </cellStyleXfs>
  <cellXfs count="27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horizontal="centerContinuous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vertical="center"/>
    </xf>
    <xf numFmtId="0" fontId="10" fillId="2" borderId="7" applyAlignment="1" pivotButton="0" quotePrefix="0" xfId="0">
      <alignment horizontal="center" vertical="center" wrapText="1"/>
    </xf>
    <xf numFmtId="0" fontId="5" fillId="2" borderId="5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5" fillId="2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4" fontId="5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1">
      <alignment horizontal="center" vertical="center"/>
    </xf>
    <xf numFmtId="14" fontId="5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wrapText="1"/>
    </xf>
    <xf numFmtId="164" fontId="5" fillId="0" borderId="1" applyAlignment="1" pivotButton="0" quotePrefix="0" xfId="0">
      <alignment vertical="center"/>
    </xf>
    <xf numFmtId="164" fontId="5" fillId="0" borderId="1" applyAlignment="1" pivotButton="0" quotePrefix="0" xfId="1">
      <alignment vertical="center"/>
    </xf>
    <xf numFmtId="164" fontId="5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14" fontId="5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164" fontId="5" fillId="0" borderId="7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wrapText="1"/>
    </xf>
    <xf numFmtId="14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14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164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left" vertical="center" wrapText="1"/>
    </xf>
    <xf numFmtId="4" fontId="12" fillId="0" borderId="8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/>
    </xf>
    <xf numFmtId="14" fontId="5" fillId="0" borderId="9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4" fontId="12" fillId="0" borderId="12" applyAlignment="1" pivotButton="0" quotePrefix="0" xfId="0">
      <alignment horizontal="center" vertical="center" wrapText="1"/>
    </xf>
    <xf numFmtId="14" fontId="5" fillId="0" borderId="13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4" fontId="12" fillId="0" borderId="15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164" fontId="5" fillId="3" borderId="1" applyAlignment="1" pivotButton="0" quotePrefix="0" xfId="1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 wrapText="1"/>
    </xf>
    <xf numFmtId="0" fontId="10" fillId="0" borderId="9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left" vertical="center" wrapText="1"/>
    </xf>
    <xf numFmtId="0" fontId="10" fillId="0" borderId="16" applyAlignment="1" pivotButton="0" quotePrefix="0" xfId="0">
      <alignment horizontal="left" vertical="center" wrapText="1"/>
    </xf>
    <xf numFmtId="10" fontId="5" fillId="3" borderId="1" applyAlignment="1" pivotButton="0" quotePrefix="0" xfId="0">
      <alignment horizontal="righ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7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7" fillId="0" borderId="13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14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pivotButton="0" quotePrefix="0" xfId="0"/>
    <xf numFmtId="0" fontId="2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5" fillId="0" borderId="0" pivotButton="0" quotePrefix="0" xfId="0"/>
    <xf numFmtId="0" fontId="3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Continuous" vertical="center"/>
    </xf>
    <xf numFmtId="0" fontId="5" fillId="2" borderId="1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7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vertical="center" wrapText="1"/>
    </xf>
    <xf numFmtId="164" fontId="5" fillId="3" borderId="1" applyAlignment="1" pivotButton="0" quotePrefix="0" xfId="1">
      <alignment horizontal="center" vertical="center"/>
    </xf>
    <xf numFmtId="0" fontId="5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1" pivotButton="0" quotePrefix="0" xfId="0"/>
    <xf numFmtId="0" fontId="17" fillId="0" borderId="6" applyAlignment="1" pivotButton="0" quotePrefix="0" xfId="0">
      <alignment horizontal="center" vertical="center" wrapText="1"/>
    </xf>
    <xf numFmtId="164" fontId="5" fillId="3" borderId="5" applyAlignment="1" pivotButton="0" quotePrefix="0" xfId="0">
      <alignment horizontal="center" vertical="center"/>
    </xf>
    <xf numFmtId="164" fontId="5" fillId="0" borderId="6" applyAlignment="1" pivotButton="0" quotePrefix="0" xfId="1">
      <alignment horizontal="center" vertical="center"/>
    </xf>
    <xf numFmtId="164" fontId="5" fillId="0" borderId="5" applyAlignment="1" pivotButton="0" quotePrefix="0" xfId="1">
      <alignment horizontal="center" vertical="center"/>
    </xf>
    <xf numFmtId="0" fontId="5" fillId="3" borderId="7" applyAlignment="1" pivotButton="0" quotePrefix="0" xfId="0">
      <alignment horizontal="center" vertical="center"/>
    </xf>
    <xf numFmtId="14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1">
      <alignment horizontal="center" vertical="center"/>
    </xf>
    <xf numFmtId="0" fontId="5" fillId="0" borderId="6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10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vertical="center"/>
    </xf>
    <xf numFmtId="14" fontId="5" fillId="0" borderId="5" applyAlignment="1" pivotButton="0" quotePrefix="0" xfId="0">
      <alignment vertical="center"/>
    </xf>
    <xf numFmtId="164" fontId="5" fillId="0" borderId="5" applyAlignment="1" pivotButton="0" quotePrefix="0" xfId="1">
      <alignment vertical="center"/>
    </xf>
    <xf numFmtId="14" fontId="5" fillId="0" borderId="1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14" fontId="5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164" fontId="5" fillId="0" borderId="7" applyAlignment="1" pivotButton="0" quotePrefix="0" xfId="1">
      <alignment vertical="center"/>
    </xf>
    <xf numFmtId="14" fontId="5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wrapText="1"/>
    </xf>
    <xf numFmtId="164" fontId="5" fillId="3" borderId="5" applyAlignment="1" pivotButton="0" quotePrefix="0" xfId="1">
      <alignment horizontal="center" vertical="center"/>
    </xf>
    <xf numFmtId="14" fontId="5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wrapText="1"/>
    </xf>
    <xf numFmtId="164" fontId="5" fillId="3" borderId="7" applyAlignment="1" pivotButton="0" quotePrefix="0" xfId="1">
      <alignment horizontal="center" vertical="center"/>
    </xf>
    <xf numFmtId="0" fontId="5" fillId="0" borderId="1" applyAlignment="1" pivotButton="0" quotePrefix="0" xfId="0">
      <alignment wrapText="1"/>
    </xf>
    <xf numFmtId="14" fontId="5" fillId="0" borderId="1" applyAlignment="1" pivotButton="0" quotePrefix="0" xfId="0">
      <alignment wrapText="1"/>
    </xf>
    <xf numFmtId="164" fontId="5" fillId="0" borderId="0" pivotButton="0" quotePrefix="0" xfId="1"/>
    <xf numFmtId="0" fontId="11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vertical="center"/>
    </xf>
    <xf numFmtId="0" fontId="5" fillId="0" borderId="17" pivotButton="0" quotePrefix="0" xfId="0"/>
    <xf numFmtId="0" fontId="5" fillId="0" borderId="0" pivotButton="0" quotePrefix="0" xfId="0"/>
    <xf numFmtId="49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center"/>
    </xf>
    <xf numFmtId="164" fontId="5" fillId="3" borderId="1" applyAlignment="1" pivotButton="0" quotePrefix="0" xfId="1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2" borderId="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5" fillId="0" borderId="11" pivotButton="0" quotePrefix="0" xfId="0"/>
    <xf numFmtId="0" fontId="3" fillId="0" borderId="11" pivotButton="0" quotePrefix="0" xfId="0"/>
    <xf numFmtId="0" fontId="3" fillId="0" borderId="17" pivotButton="0" quotePrefix="0" xfId="0"/>
    <xf numFmtId="0" fontId="3" fillId="0" borderId="0" pivotButton="0" quotePrefix="0" xfId="0"/>
    <xf numFmtId="0" fontId="5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applyAlignment="1" pivotButton="0" quotePrefix="0" xfId="0">
      <alignment vertical="center"/>
    </xf>
    <xf numFmtId="0" fontId="5" fillId="0" borderId="17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8" fillId="0" borderId="17" applyAlignment="1" pivotButton="0" quotePrefix="0" xfId="0">
      <alignment vertical="center"/>
    </xf>
    <xf numFmtId="0" fontId="10" fillId="2" borderId="2" applyAlignment="1" pivotButton="0" quotePrefix="0" xfId="0">
      <alignment vertical="center"/>
    </xf>
    <xf numFmtId="0" fontId="10" fillId="2" borderId="3" applyAlignment="1" pivotButton="0" quotePrefix="0" xfId="0">
      <alignment vertical="center"/>
    </xf>
    <xf numFmtId="0" fontId="10" fillId="2" borderId="4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3" fillId="0" borderId="18" pivotButton="0" quotePrefix="0" xfId="0"/>
    <xf numFmtId="0" fontId="7" fillId="0" borderId="17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13" applyAlignment="1" pivotButton="0" quotePrefix="0" xfId="0">
      <alignment vertical="center"/>
    </xf>
    <xf numFmtId="0" fontId="5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4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29" applyAlignment="1" pivotButton="0" quotePrefix="0" xfId="0">
      <alignment vertical="center"/>
    </xf>
    <xf numFmtId="14" fontId="5" fillId="0" borderId="29" applyAlignment="1" pivotButton="0" quotePrefix="0" xfId="0">
      <alignment vertical="center"/>
    </xf>
    <xf numFmtId="0" fontId="17" fillId="0" borderId="29" applyAlignment="1" pivotButton="0" quotePrefix="0" xfId="0">
      <alignment vertical="center"/>
    </xf>
    <xf numFmtId="0" fontId="17" fillId="0" borderId="29" applyAlignment="1" pivotButton="0" quotePrefix="0" xfId="0">
      <alignment vertical="center" wrapText="1"/>
    </xf>
    <xf numFmtId="3" fontId="17" fillId="0" borderId="29" applyAlignment="1" pivotButton="0" quotePrefix="0" xfId="0">
      <alignment vertical="center"/>
    </xf>
    <xf numFmtId="4" fontId="5" fillId="3" borderId="29" applyAlignment="1" pivotButton="0" quotePrefix="0" xfId="1">
      <alignment vertical="center"/>
    </xf>
    <xf numFmtId="4" fontId="5" fillId="0" borderId="29" applyAlignment="1" pivotButton="0" quotePrefix="0" xfId="0">
      <alignment vertical="center"/>
    </xf>
    <xf numFmtId="0" fontId="5" fillId="36" borderId="29" applyAlignment="1" pivotButton="0" quotePrefix="0" xfId="0">
      <alignment vertical="center"/>
    </xf>
    <xf numFmtId="0" fontId="5" fillId="0" borderId="29" applyAlignment="1" pivotButton="0" quotePrefix="0" xfId="0">
      <alignment vertical="top" wrapText="1"/>
    </xf>
    <xf numFmtId="4" fontId="5" fillId="0" borderId="29" applyAlignment="1" pivotButton="0" quotePrefix="0" xfId="1">
      <alignment vertical="center"/>
    </xf>
    <xf numFmtId="0" fontId="5" fillId="0" borderId="29" applyAlignment="1" pivotButton="0" quotePrefix="0" xfId="0">
      <alignment vertical="center" wrapText="1"/>
    </xf>
    <xf numFmtId="14" fontId="5" fillId="36" borderId="29" applyAlignment="1" pivotButton="0" quotePrefix="0" xfId="0">
      <alignment vertical="center"/>
    </xf>
    <xf numFmtId="0" fontId="11" fillId="36" borderId="29" applyAlignment="1" pivotButton="0" quotePrefix="0" xfId="0">
      <alignment vertical="center"/>
    </xf>
    <xf numFmtId="164" fontId="5" fillId="36" borderId="29" applyAlignment="1" pivotButton="0" quotePrefix="0" xfId="1">
      <alignment vertical="center"/>
    </xf>
    <xf numFmtId="0" fontId="0" fillId="0" borderId="29" applyAlignment="1" pivotButton="0" quotePrefix="0" xfId="0">
      <alignment vertical="center" wrapText="1"/>
    </xf>
    <xf numFmtId="0" fontId="0" fillId="0" borderId="31" pivotButton="0" quotePrefix="0" xfId="0"/>
    <xf numFmtId="4" fontId="5" fillId="37" borderId="29" applyAlignment="1" pivotButton="0" quotePrefix="0" xfId="0">
      <alignment vertical="center"/>
    </xf>
    <xf numFmtId="0" fontId="0" fillId="0" borderId="32" pivotButton="0" quotePrefix="0" xfId="0"/>
    <xf numFmtId="0" fontId="5" fillId="38" borderId="29" applyAlignment="1" pivotButton="0" quotePrefix="0" xfId="0">
      <alignment vertical="center"/>
    </xf>
    <xf numFmtId="14" fontId="5" fillId="38" borderId="29" applyAlignment="1" pivotButton="0" quotePrefix="0" xfId="0">
      <alignment vertical="center"/>
    </xf>
    <xf numFmtId="0" fontId="17" fillId="38" borderId="29" applyAlignment="1" pivotButton="0" quotePrefix="0" xfId="0">
      <alignment vertical="center"/>
    </xf>
    <xf numFmtId="0" fontId="17" fillId="38" borderId="29" applyAlignment="1" pivotButton="0" quotePrefix="0" xfId="0">
      <alignment vertical="center" wrapText="1"/>
    </xf>
    <xf numFmtId="3" fontId="17" fillId="38" borderId="29" applyAlignment="1" pivotButton="0" quotePrefix="0" xfId="0">
      <alignment vertical="center"/>
    </xf>
    <xf numFmtId="4" fontId="5" fillId="38" borderId="29" applyAlignment="1" pivotButton="0" quotePrefix="0" xfId="1">
      <alignment vertical="center"/>
    </xf>
    <xf numFmtId="0" fontId="5" fillId="38" borderId="29" applyAlignment="1" pivotButton="0" quotePrefix="0" xfId="0">
      <alignment vertical="top" wrapText="1"/>
    </xf>
    <xf numFmtId="4" fontId="5" fillId="38" borderId="29" applyAlignment="1" pivotButton="0" quotePrefix="0" xfId="0">
      <alignment vertical="center"/>
    </xf>
    <xf numFmtId="0" fontId="5" fillId="38" borderId="29" applyAlignment="1" pivotButton="0" quotePrefix="0" xfId="0">
      <alignment vertical="center" wrapText="1"/>
    </xf>
    <xf numFmtId="164" fontId="5" fillId="3" borderId="1" applyAlignment="1" pivotButton="0" quotePrefix="0" xfId="1">
      <alignment horizontal="right" vertical="center"/>
    </xf>
    <xf numFmtId="164" fontId="5" fillId="2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vertical="center"/>
    </xf>
    <xf numFmtId="164" fontId="5" fillId="3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wrapText="1"/>
    </xf>
    <xf numFmtId="164" fontId="5" fillId="0" borderId="1" applyAlignment="1" pivotButton="0" quotePrefix="0" xfId="0">
      <alignment vertical="center"/>
    </xf>
    <xf numFmtId="164" fontId="5" fillId="0" borderId="1" applyAlignment="1" pivotButton="0" quotePrefix="0" xfId="1">
      <alignment vertical="center"/>
    </xf>
    <xf numFmtId="164" fontId="5" fillId="0" borderId="2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center" vertical="center" wrapText="1"/>
    </xf>
    <xf numFmtId="49" fontId="12" fillId="0" borderId="2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4" fontId="12" fillId="0" borderId="28" applyAlignment="1" pivotButton="0" quotePrefix="0" xfId="0">
      <alignment horizontal="center" vertical="center" wrapText="1"/>
    </xf>
    <xf numFmtId="164" fontId="5" fillId="3" borderId="1" applyAlignment="1" pivotButton="0" quotePrefix="0" xfId="1">
      <alignment horizontal="center" vertical="center" wrapText="1"/>
    </xf>
    <xf numFmtId="164" fontId="5" fillId="3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left" vertical="center" wrapText="1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作者</author>
  </authors>
  <commentList>
    <comment ref="X4" authorId="0" shapeId="0">
      <text>
        <t>请根据收入确认原则，确定相应检查单据类型；</t>
      </text>
    </comment>
    <comment ref="AE4" authorId="0" shapeId="0">
      <text>
        <t>例如：
对于出口销售还需要检查出口报关单、装船单、货运提单等</t>
      </text>
    </comment>
    <comment ref="M5" authorId="0" shapeId="0">
      <text>
        <t>针对异常交易、重要关联方交易实施追加检查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V4" authorId="0" shapeId="0">
      <text>
        <t>例如：对于出口销售还需要检查出口报关单、装船单、货运提单等</t>
      </text>
    </comment>
    <comment ref="R5" authorId="0" shapeId="0">
      <text>
        <t>请根据收入确认原则，确定相应检查单据类型；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6" customWidth="1" style="221" min="1" max="1"/>
  </cols>
  <sheetData>
    <row r="1">
      <c r="A1" s="222" t="inlineStr">
        <is>
          <t>自动回填说明（template-first 真回填 · 人工门2 changes 回修第2轮）</t>
        </is>
      </c>
    </row>
    <row r="2">
      <c r="A2" s="223" t="inlineStr">
        <is>
          <t>公司：中国南玻集团股份有限公司</t>
        </is>
      </c>
    </row>
    <row r="3">
      <c r="A3" s="223" t="inlineStr">
        <is>
          <t>材料范围：仅销售合同 + 出库单。发票/记账凭证/明细账不在范围，相关列留空（灰底）并标注原因。</t>
        </is>
      </c>
    </row>
    <row r="4">
      <c r="A4" s="223" t="inlineStr">
        <is>
          <t>每个样本 = 一个【人工已确认】的材料关联组（合同↔出库），按合同锚定（从合同到明细账）。</t>
        </is>
      </c>
    </row>
    <row r="5">
      <c r="A5" s="223" t="inlineStr">
        <is>
          <t>① 合同货物名称(E)/规格(F)/数量(G) 取自合同证据 fields_json（多货物按行项目分条列示，G为合计）；</t>
        </is>
      </c>
    </row>
    <row r="6">
      <c r="A6" s="223" t="inlineStr">
        <is>
          <t>② 单价(H) 保留模板公式 =金额(I)/数量(G)，由本行 G/I 自动算出数值；</t>
        </is>
      </c>
    </row>
    <row r="7">
      <c r="A7" s="223" t="inlineStr">
        <is>
          <t>③ 物流记录(出库) 按出库日期逐行展开：一个日期一行，编号(Y)汇总该日期全部出库单号，数量(Z)/金额(AA)为该日期合计；合同侧列(序号/B–J)按样本纵向合并。</t>
        </is>
      </c>
    </row>
    <row r="8">
      <c r="A8" s="223" t="inlineStr">
        <is>
          <t>黄底 = 关键字段缺失/合同扫描件OCR读不出，需人工补录；灰底 = 范围外；红底 = 该样本结论非“通过测试”，需优先复核。</t>
        </is>
      </c>
    </row>
    <row r="9">
      <c r="A9" s="223" t="inlineStr">
        <is>
          <t>出库数量/金额为该客户全期出库台账合计，是否对应本合同批次需人工确认（详见各行备注与异常点清单）。</t>
        </is>
      </c>
    </row>
    <row r="10">
      <c r="A10" s="223" t="inlineStr">
        <is>
          <t>“从明细账到合同”sheet 需要明细账/记账凭证作为起点，本次范围不含，故未自动生成数据行。</t>
        </is>
      </c>
    </row>
    <row r="11">
      <c r="A11" s="223" t="inlineStr">
        <is>
          <t>请配合『异常点清单_&lt;公司&gt;.md』逐条确认后再在终审门处理。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 tint="-0.04999"/>
    <outlinePr summaryBelow="1" summaryRight="1"/>
    <pageSetUpPr/>
  </sheetPr>
  <dimension ref="A1:AV68"/>
  <sheetViews>
    <sheetView workbookViewId="0">
      <selection activeCell="A1" sqref="A1"/>
    </sheetView>
  </sheetViews>
  <sheetFormatPr baseColWidth="8" defaultColWidth="9.120369911193848" defaultRowHeight="18"/>
  <cols>
    <col width="5.296296119689941" customWidth="1" style="198" min="1" max="1"/>
    <col width="9.296296119689941" customWidth="1" style="198" min="2" max="2"/>
    <col width="8.703703880310059" customWidth="1" style="198" min="3" max="3"/>
    <col width="16" customWidth="1" style="198" min="4" max="4"/>
    <col width="9.583333015441895" customWidth="1" style="198" min="5" max="5"/>
    <col width="8.583333015441895" customWidth="1" style="198" min="6" max="6"/>
    <col width="9.120369911193848" customWidth="1" style="198" min="7" max="7"/>
    <col width="8.703703880310059" customWidth="1" style="198" min="8" max="8"/>
    <col width="11.70370388031006" customWidth="1" style="198" min="9" max="9"/>
    <col width="10.70370388031006" customWidth="1" style="198" min="10" max="10"/>
    <col width="2.703703641891479" customWidth="1" style="198" min="11" max="16"/>
    <col width="8.703703880310059" customWidth="1" style="198" min="17" max="17"/>
    <col width="7.703703880310059" customWidth="1" style="198" min="18" max="18"/>
    <col width="9.120369911193848" customWidth="1" style="198" min="19" max="19"/>
    <col width="11.70370388031006" customWidth="1" style="198" min="20" max="20"/>
    <col width="2.703703641891479" customWidth="1" style="198" min="21" max="23"/>
    <col width="8.703703880310059" customWidth="1" style="198" min="24" max="24"/>
    <col width="27.7592601776123" customWidth="1" style="198" min="25" max="25"/>
    <col hidden="1" width="9.120369911193848" customWidth="1" style="198" min="26" max="26"/>
    <col hidden="1" width="11.70370388031006" customWidth="1" style="198" min="27" max="27"/>
    <col width="2.703703641891479" customWidth="1" style="198" min="28" max="30"/>
    <col width="13.12036991119385" customWidth="1" style="221" min="31" max="31"/>
    <col width="8.703703880310059" customWidth="1" style="198" min="32" max="32"/>
    <col width="12.87963008880615" customWidth="1" style="198" min="33" max="33"/>
    <col width="11.70370388031006" customWidth="1" style="198" min="34" max="34"/>
    <col width="2.703703641891479" customWidth="1" style="198" min="35" max="38"/>
    <col width="5.879629611968994" customWidth="1" style="198" min="39" max="39"/>
    <col width="9.120369911193848" customWidth="1" style="198" min="40" max="16384"/>
  </cols>
  <sheetData>
    <row r="1" ht="24" customFormat="1" customHeight="1" s="117">
      <c r="A1" s="122" t="inlineStr">
        <is>
          <t>主营业务收入细节测试记录表（从合同到明细账）</t>
        </is>
      </c>
      <c r="AN1" s="4">
        <f>HYPERLINK("#目录!A1","返回目录")</f>
        <v/>
      </c>
    </row>
    <row r="2" customFormat="1" s="118">
      <c r="A2" s="114">
        <f>[1]目录!$A$2&amp;[1]目录!$C$2</f>
        <v/>
      </c>
      <c r="B2" s="113" t="n"/>
      <c r="C2" s="7" t="n"/>
      <c r="D2" s="7" t="n"/>
      <c r="E2" s="7" t="n"/>
      <c r="F2" s="7" t="n"/>
      <c r="G2" s="7" t="n"/>
      <c r="H2" s="7" t="n"/>
      <c r="I2" s="114" t="n"/>
      <c r="J2" s="114" t="n"/>
      <c r="K2" s="114">
        <f>[1]目录!$A$4&amp;[1]目录!$C$4&amp;"               "&amp;[1]目录!$A$5&amp;[1]目录!$C$5</f>
        <v/>
      </c>
      <c r="L2" s="114" t="n"/>
      <c r="M2" s="114" t="n"/>
      <c r="N2" s="104" t="n"/>
      <c r="O2" s="104" t="n"/>
      <c r="P2" s="104" t="n"/>
      <c r="Q2" s="114" t="n"/>
      <c r="R2" s="198" t="n"/>
      <c r="S2" s="198" t="n"/>
      <c r="T2" s="104" t="n"/>
      <c r="U2" s="7" t="n"/>
      <c r="V2" s="7" t="n"/>
      <c r="W2" s="7" t="n"/>
      <c r="X2" s="7" t="n"/>
      <c r="Y2" s="114" t="n"/>
      <c r="Z2" s="114" t="n"/>
      <c r="AA2" s="114" t="n"/>
      <c r="AB2" s="7" t="n"/>
      <c r="AC2" s="7" t="n"/>
      <c r="AD2" s="7" t="n"/>
      <c r="AE2" s="114" t="n"/>
      <c r="AF2" s="7" t="n"/>
      <c r="AG2" s="7" t="n"/>
      <c r="AH2" s="7" t="n"/>
      <c r="AI2" s="7" t="n"/>
      <c r="AJ2" s="7" t="n"/>
      <c r="AK2" s="7" t="n"/>
      <c r="AL2" s="7" t="n"/>
      <c r="AM2" s="124">
        <f>"索引号："&amp;[1]目录!$D$52</f>
        <v/>
      </c>
    </row>
    <row r="3" customFormat="1" s="119">
      <c r="A3" s="114">
        <f>[1]目录!$D$3&amp;[1]目录!$F$3</f>
        <v/>
      </c>
      <c r="B3" s="113" t="n"/>
      <c r="C3" s="114" t="n"/>
      <c r="D3" s="114" t="n"/>
      <c r="E3" s="114" t="n"/>
      <c r="F3" s="114" t="n"/>
      <c r="G3" s="114" t="n"/>
      <c r="H3" s="114" t="n"/>
      <c r="I3" s="114" t="n"/>
      <c r="J3" s="114" t="n"/>
      <c r="K3" s="114">
        <f>[1]目录!$D$4&amp;[1]目录!$F$4&amp;"               "&amp;[1]目录!$D$5&amp;[1]目录!$F$5</f>
        <v/>
      </c>
      <c r="L3" s="114" t="n"/>
      <c r="M3" s="114" t="n"/>
      <c r="N3" s="104" t="n"/>
      <c r="O3" s="104" t="n"/>
      <c r="P3" s="104" t="n"/>
      <c r="Q3" s="114" t="n"/>
      <c r="R3" s="198" t="n"/>
      <c r="S3" s="198" t="n"/>
      <c r="T3" s="104" t="n"/>
      <c r="U3" s="125" t="n"/>
      <c r="V3" s="125" t="n"/>
      <c r="W3" s="125" t="n"/>
      <c r="X3" s="12" t="n"/>
      <c r="Y3" s="114" t="n"/>
      <c r="Z3" s="114" t="n"/>
      <c r="AA3" s="114" t="n"/>
      <c r="AB3" s="114" t="n"/>
      <c r="AC3" s="114" t="n"/>
      <c r="AD3" s="114" t="n"/>
      <c r="AE3" s="114" t="n"/>
      <c r="AF3" s="114" t="n"/>
      <c r="AG3" s="114" t="n"/>
      <c r="AH3" s="114" t="n"/>
      <c r="AI3" s="114" t="n"/>
      <c r="AJ3" s="114" t="n"/>
      <c r="AK3" s="114" t="n"/>
      <c r="AL3" s="114" t="n"/>
      <c r="AM3" s="114" t="n"/>
    </row>
    <row r="4" customFormat="1" s="203">
      <c r="A4" s="14" t="inlineStr">
        <is>
          <t>序号</t>
        </is>
      </c>
      <c r="B4" s="131" t="inlineStr">
        <is>
          <t>销售合同、请购单内容</t>
        </is>
      </c>
      <c r="C4" s="224" t="n"/>
      <c r="D4" s="224" t="n"/>
      <c r="E4" s="224" t="n"/>
      <c r="F4" s="224" t="n"/>
      <c r="G4" s="224" t="n"/>
      <c r="H4" s="224" t="n"/>
      <c r="I4" s="224" t="n"/>
      <c r="J4" s="224" t="n"/>
      <c r="K4" s="224" t="n"/>
      <c r="L4" s="224" t="n"/>
      <c r="M4" s="224" t="n"/>
      <c r="N4" s="224" t="n"/>
      <c r="O4" s="224" t="n"/>
      <c r="P4" s="225" t="n"/>
      <c r="Q4" s="127" t="inlineStr">
        <is>
          <t>销售发票</t>
        </is>
      </c>
      <c r="R4" s="127" t="n"/>
      <c r="S4" s="127" t="n"/>
      <c r="T4" s="127" t="n"/>
      <c r="U4" s="127" t="n"/>
      <c r="V4" s="127" t="n"/>
      <c r="W4" s="127" t="n"/>
      <c r="X4" s="131" t="inlineStr">
        <is>
          <t>物流记录或客户验收单</t>
        </is>
      </c>
      <c r="Y4" s="224" t="n"/>
      <c r="Z4" s="224" t="n"/>
      <c r="AA4" s="224" t="n"/>
      <c r="AB4" s="224" t="n"/>
      <c r="AC4" s="224" t="n"/>
      <c r="AD4" s="225" t="n"/>
      <c r="AE4" s="25" t="inlineStr">
        <is>
          <t>其他支付性文件或说明</t>
        </is>
      </c>
      <c r="AF4" s="127" t="inlineStr">
        <is>
          <t>会计凭证</t>
        </is>
      </c>
      <c r="AG4" s="127" t="n"/>
      <c r="AH4" s="127" t="n"/>
      <c r="AI4" s="127" t="n"/>
      <c r="AJ4" s="127" t="n"/>
      <c r="AK4" s="127" t="n"/>
      <c r="AL4" s="127" t="n"/>
      <c r="AM4" s="220" t="inlineStr">
        <is>
          <t>备注</t>
        </is>
      </c>
    </row>
    <row r="5" customFormat="1" s="203">
      <c r="A5" s="226" t="n"/>
      <c r="B5" s="14" t="inlineStr">
        <is>
          <t>销售合同或销售订单编号</t>
        </is>
      </c>
      <c r="C5" s="220" t="inlineStr">
        <is>
          <t>签约日期</t>
        </is>
      </c>
      <c r="D5" s="14" t="inlineStr">
        <is>
          <t>订购单位名称</t>
        </is>
      </c>
      <c r="E5" s="14" t="inlineStr">
        <is>
          <t>货物名称</t>
        </is>
      </c>
      <c r="F5" s="220" t="inlineStr">
        <is>
          <t>规格</t>
        </is>
      </c>
      <c r="G5" s="220" t="inlineStr">
        <is>
          <t>数量</t>
        </is>
      </c>
      <c r="H5" s="220" t="inlineStr">
        <is>
          <t>单价</t>
        </is>
      </c>
      <c r="I5" s="220" t="inlineStr">
        <is>
          <t>金额</t>
        </is>
      </c>
      <c r="J5" s="131" t="inlineStr">
        <is>
          <t>约定交货时间</t>
        </is>
      </c>
      <c r="K5" s="131" t="inlineStr">
        <is>
          <t>常规核对</t>
        </is>
      </c>
      <c r="L5" s="225" t="n"/>
      <c r="M5" s="131" t="inlineStr">
        <is>
          <t>追加核对</t>
        </is>
      </c>
      <c r="N5" s="224" t="n"/>
      <c r="O5" s="224" t="n"/>
      <c r="P5" s="225" t="n"/>
      <c r="Q5" s="220" t="inlineStr">
        <is>
          <t>日期</t>
        </is>
      </c>
      <c r="R5" s="220" t="inlineStr">
        <is>
          <t>编号</t>
        </is>
      </c>
      <c r="S5" s="220" t="inlineStr">
        <is>
          <t>数量</t>
        </is>
      </c>
      <c r="T5" s="220" t="inlineStr">
        <is>
          <t>金额</t>
        </is>
      </c>
      <c r="U5" s="220" t="inlineStr">
        <is>
          <t>核对</t>
        </is>
      </c>
      <c r="V5" s="224" t="n"/>
      <c r="W5" s="225" t="n"/>
      <c r="X5" s="220" t="inlineStr">
        <is>
          <t>日期</t>
        </is>
      </c>
      <c r="Y5" s="220" t="inlineStr">
        <is>
          <t>编号</t>
        </is>
      </c>
      <c r="Z5" s="220" t="inlineStr">
        <is>
          <t>数量</t>
        </is>
      </c>
      <c r="AA5" s="220" t="inlineStr">
        <is>
          <t>金额(如适用)</t>
        </is>
      </c>
      <c r="AB5" s="220" t="inlineStr">
        <is>
          <t>核对</t>
        </is>
      </c>
      <c r="AC5" s="224" t="n"/>
      <c r="AD5" s="225" t="n"/>
      <c r="AE5" s="226" t="n"/>
      <c r="AF5" s="220" t="inlineStr">
        <is>
          <t>日期</t>
        </is>
      </c>
      <c r="AG5" s="220" t="inlineStr">
        <is>
          <t>编号</t>
        </is>
      </c>
      <c r="AH5" s="220" t="inlineStr">
        <is>
          <t>金额</t>
        </is>
      </c>
      <c r="AI5" s="220" t="inlineStr">
        <is>
          <t>核对</t>
        </is>
      </c>
      <c r="AJ5" s="224" t="n"/>
      <c r="AK5" s="224" t="n"/>
      <c r="AL5" s="225" t="n"/>
      <c r="AM5" s="226" t="n"/>
    </row>
    <row r="6" customFormat="1" s="203">
      <c r="A6" s="227" t="n"/>
      <c r="B6" s="227" t="n"/>
      <c r="C6" s="227" t="n"/>
      <c r="D6" s="227" t="n"/>
      <c r="E6" s="227" t="n"/>
      <c r="F6" s="227" t="n"/>
      <c r="G6" s="227" t="n"/>
      <c r="H6" s="227" t="n"/>
      <c r="I6" s="227" t="n"/>
      <c r="J6" s="227" t="n"/>
      <c r="K6" s="220" t="inlineStr">
        <is>
          <t>(1)</t>
        </is>
      </c>
      <c r="L6" s="220" t="inlineStr">
        <is>
          <t>(2)</t>
        </is>
      </c>
      <c r="M6" s="220" t="inlineStr">
        <is>
          <t>(3)</t>
        </is>
      </c>
      <c r="N6" s="220" t="inlineStr">
        <is>
          <t>(4)</t>
        </is>
      </c>
      <c r="O6" s="220" t="inlineStr">
        <is>
          <t>(5)</t>
        </is>
      </c>
      <c r="P6" s="220" t="inlineStr">
        <is>
          <t>(6)</t>
        </is>
      </c>
      <c r="Q6" s="227" t="n"/>
      <c r="R6" s="227" t="n"/>
      <c r="S6" s="227" t="n"/>
      <c r="T6" s="227" t="n"/>
      <c r="U6" s="220" t="inlineStr">
        <is>
          <t>(7)</t>
        </is>
      </c>
      <c r="V6" s="220" t="inlineStr">
        <is>
          <t>(8)</t>
        </is>
      </c>
      <c r="W6" s="220" t="inlineStr">
        <is>
          <t>(9)</t>
        </is>
      </c>
      <c r="X6" s="227" t="n"/>
      <c r="Y6" s="227" t="n"/>
      <c r="Z6" s="227" t="n"/>
      <c r="AA6" s="227" t="n"/>
      <c r="AB6" s="220" t="inlineStr">
        <is>
          <t>(10)</t>
        </is>
      </c>
      <c r="AC6" s="220" t="inlineStr">
        <is>
          <t>(11)</t>
        </is>
      </c>
      <c r="AD6" s="220" t="inlineStr">
        <is>
          <t>(12)</t>
        </is>
      </c>
      <c r="AE6" s="227" t="n"/>
      <c r="AF6" s="227" t="n"/>
      <c r="AG6" s="227" t="n"/>
      <c r="AH6" s="227" t="n"/>
      <c r="AI6" s="220" t="inlineStr">
        <is>
          <t>(13)</t>
        </is>
      </c>
      <c r="AJ6" s="220" t="inlineStr">
        <is>
          <t>(14)</t>
        </is>
      </c>
      <c r="AK6" s="220" t="inlineStr">
        <is>
          <t>(15)</t>
        </is>
      </c>
      <c r="AL6" s="220" t="inlineStr">
        <is>
          <t>(16)</t>
        </is>
      </c>
      <c r="AM6" s="227" t="n"/>
    </row>
    <row r="7" ht="179.3999938964844" customFormat="1" customHeight="1" s="203">
      <c r="A7" s="228" t="inlineStr">
        <is>
          <t>1</t>
        </is>
      </c>
      <c r="B7" s="228" t="inlineStr">
        <is>
          <t>4500066334</t>
        </is>
      </c>
      <c r="C7" s="229" t="inlineStr">
        <is>
          <t>2022-04-07</t>
        </is>
      </c>
      <c r="D7" s="230" t="inlineStr">
        <is>
          <t>盐城正泰新能源科技有限公司</t>
        </is>
      </c>
      <c r="E7" s="231" t="inlineStr">
        <is>
          <t>①正面镀膜钢化玻璃_182双玻 2251*1128*2.0mm（35700PC）
②背面网格钢化玻璃_182双玻 2251*1128*2.0mm（35700PC）</t>
        </is>
      </c>
      <c r="F7" s="231" t="inlineStr">
        <is>
          <t>①2251*1128*2.0mm
②2251*1128*2.0mm</t>
        </is>
      </c>
      <c r="G7" s="232" t="n">
        <v>71400</v>
      </c>
      <c r="H7" s="233">
        <f>I7/G7</f>
        <v/>
      </c>
      <c r="I7" s="234" t="n">
        <v>4122446.79</v>
      </c>
      <c r="J7" s="228" t="inlineStr">
        <is>
          <t>2022-04-30</t>
        </is>
      </c>
      <c r="K7" s="228" t="inlineStr">
        <is>
          <t>待人工核对</t>
        </is>
      </c>
      <c r="L7" s="228" t="inlineStr">
        <is>
          <t>待人工核对</t>
        </is>
      </c>
      <c r="M7" s="228" t="inlineStr">
        <is>
          <t>待人工核对</t>
        </is>
      </c>
      <c r="N7" s="228" t="inlineStr">
        <is>
          <t>待人工核对</t>
        </is>
      </c>
      <c r="O7" s="228" t="inlineStr">
        <is>
          <t>待人工核对</t>
        </is>
      </c>
      <c r="P7" s="228" t="inlineStr">
        <is>
          <t>待人工核对</t>
        </is>
      </c>
      <c r="Q7" s="235" t="n"/>
      <c r="R7" s="235" t="n"/>
      <c r="S7" s="235" t="n"/>
      <c r="T7" s="235" t="n"/>
      <c r="U7" s="235" t="n"/>
      <c r="V7" s="235" t="n"/>
      <c r="W7" s="235" t="n"/>
      <c r="X7" s="229" t="inlineStr">
        <is>
          <t>2022-04-29</t>
        </is>
      </c>
      <c r="Y7" s="236" t="inlineStr">
        <is>
          <t>XCD2204290034、XCD2204290037、XCD2204290038、XCD2204290042、XCD2204290043、XCD2204290045、XCD2204290046、XCD2204290057</t>
        </is>
      </c>
      <c r="Z7" s="237" t="n">
        <v>51798.2112</v>
      </c>
      <c r="AA7" s="234" t="n">
        <v>1064125.03</v>
      </c>
      <c r="AB7" s="228" t="inlineStr">
        <is>
          <t>待人工核对</t>
        </is>
      </c>
      <c r="AC7" s="228" t="inlineStr">
        <is>
          <t>待人工核对</t>
        </is>
      </c>
      <c r="AD7" s="228" t="inlineStr">
        <is>
          <t>待人工核对</t>
        </is>
      </c>
      <c r="AE7" s="238" t="inlineStr">
        <is>
          <t>系统结论：通过测试；合同为多货物采购订单(PO)，货物名称/规格/数量已按行项目分条列示；G列数量=各行项目合计，H列单价=金额/数量(含税加权均价)；合同数量计量单位为「PC」，出库台账计量单位为「平方米」，口径不同，已分列不混填；物流记录(出库)已按出库日期逐行展开：一个日期一行，编号列汇总该日期全部出库单号，数量/金额为该日期合计；出库数量/金额为该客户全期出库台账合计，与单一PO金额口径不同，是否对应本合同批次需人工确认；发票/记账凭证/明细账不在本次材料范围（相应列留空）；勾稽：合同金额(4122446.79) 与出库金额合计(19828766.61) 不一致（口径不同，需人工判断是否合理）</t>
        </is>
      </c>
      <c r="AF7" s="239" t="n"/>
      <c r="AG7" s="240" t="n"/>
      <c r="AH7" s="241" t="n"/>
      <c r="AI7" s="235" t="n"/>
      <c r="AJ7" s="235" t="n"/>
      <c r="AK7" s="235" t="n"/>
      <c r="AL7" s="235" t="n"/>
      <c r="AM7" s="238" t="n"/>
      <c r="AN7" s="242" t="n"/>
      <c r="AO7" s="242" t="n"/>
      <c r="AP7" s="242" t="n"/>
      <c r="AQ7" s="242" t="n"/>
      <c r="AR7" s="242" t="n"/>
      <c r="AS7" s="242" t="n"/>
      <c r="AT7" s="242" t="n"/>
      <c r="AU7" s="242" t="n"/>
      <c r="AV7" s="242" t="n"/>
    </row>
    <row r="8" ht="177.3000030517578" customFormat="1" customHeight="1" s="203">
      <c r="A8" s="243" t="n"/>
      <c r="B8" s="243" t="n"/>
      <c r="C8" s="243" t="n"/>
      <c r="D8" s="243" t="n"/>
      <c r="E8" s="243" t="n"/>
      <c r="F8" s="243" t="n"/>
      <c r="G8" s="243" t="n"/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29" t="inlineStr">
        <is>
          <t>2022-04-30</t>
        </is>
      </c>
      <c r="Y8" s="236" t="inlineStr">
        <is>
          <t>XCD2205020001、XCD2205020010、XCD2205020011、XCD2205020012、XCD2205020014、XCD2205020019、XCD2205030005、XCD2205030006、XCD2205030007、XCD2205030008、XCD2205030009、XCD2205030010、XCD2205030011、XCD2205030012、XCD2205030013、XCD2205030014、XCD2205030015、XCD2205030016、XCD2205030017、XCD2205030018</t>
        </is>
      </c>
      <c r="Z8" s="237" t="n">
        <v>129495.528</v>
      </c>
      <c r="AA8" s="234" t="n">
        <v>2474613.67</v>
      </c>
      <c r="AB8" s="243" t="n"/>
      <c r="AC8" s="243" t="n"/>
      <c r="AD8" s="243" t="n"/>
      <c r="AE8" s="243" t="n"/>
      <c r="AF8" s="243" t="n"/>
      <c r="AG8" s="243" t="n"/>
      <c r="AH8" s="243" t="n"/>
      <c r="AI8" s="243" t="n"/>
      <c r="AJ8" s="243" t="n"/>
      <c r="AK8" s="243" t="n"/>
      <c r="AL8" s="243" t="n"/>
      <c r="AM8" s="243" t="n"/>
      <c r="AN8" s="243" t="n"/>
      <c r="AO8" s="243" t="n"/>
      <c r="AP8" s="243" t="n"/>
      <c r="AQ8" s="243" t="n"/>
      <c r="AR8" s="243" t="n"/>
      <c r="AS8" s="243" t="n"/>
      <c r="AT8" s="243" t="n"/>
      <c r="AU8" s="243" t="n"/>
      <c r="AV8" s="243" t="n"/>
    </row>
    <row r="9" ht="177.3000030517578" customFormat="1" customHeight="1" s="203">
      <c r="A9" s="243" t="n"/>
      <c r="B9" s="243" t="n"/>
      <c r="C9" s="243" t="n"/>
      <c r="D9" s="243" t="n"/>
      <c r="E9" s="243" t="n"/>
      <c r="F9" s="243" t="n"/>
      <c r="G9" s="243" t="n"/>
      <c r="H9" s="243" t="n"/>
      <c r="I9" s="243" t="n"/>
      <c r="J9" s="243" t="n"/>
      <c r="K9" s="243" t="n"/>
      <c r="L9" s="243" t="n"/>
      <c r="M9" s="243" t="n"/>
      <c r="N9" s="243" t="n"/>
      <c r="O9" s="243" t="n"/>
      <c r="P9" s="243" t="n"/>
      <c r="Q9" s="243" t="n"/>
      <c r="R9" s="243" t="n"/>
      <c r="S9" s="243" t="n"/>
      <c r="T9" s="243" t="n"/>
      <c r="U9" s="243" t="n"/>
      <c r="V9" s="243" t="n"/>
      <c r="W9" s="243" t="n"/>
      <c r="X9" s="228" t="inlineStr">
        <is>
          <t>2022-05-31</t>
        </is>
      </c>
      <c r="Y9" s="236" t="inlineStr">
        <is>
          <t>CKT2206020005、CKT2206020006、CKT2206020007、CKT2206020008、CKT2206020009、CKT2206020010、CKT2206020011、CKT2206020012、CKT2206020013、CKT2206020014、CKT2206020015、CKT2206020016、CKT2206020017、CKT2206020018、CKT2206020019、CKT2206020020</t>
        </is>
      </c>
      <c r="Z9" s="244" t="n"/>
      <c r="AA9" s="234" t="n">
        <v>-1.1</v>
      </c>
      <c r="AB9" s="243" t="n"/>
      <c r="AC9" s="243" t="n"/>
      <c r="AD9" s="243" t="n"/>
      <c r="AE9" s="243" t="n"/>
      <c r="AF9" s="243" t="n"/>
      <c r="AG9" s="243" t="n"/>
      <c r="AH9" s="243" t="n"/>
      <c r="AI9" s="243" t="n"/>
      <c r="AJ9" s="243" t="n"/>
      <c r="AK9" s="243" t="n"/>
      <c r="AL9" s="243" t="n"/>
      <c r="AM9" s="243" t="n"/>
      <c r="AN9" s="243" t="n"/>
      <c r="AO9" s="243" t="n"/>
      <c r="AP9" s="243" t="n"/>
      <c r="AQ9" s="243" t="n"/>
      <c r="AR9" s="243" t="n"/>
      <c r="AS9" s="243" t="n"/>
      <c r="AT9" s="243" t="n"/>
      <c r="AU9" s="243" t="n"/>
      <c r="AV9" s="243" t="n"/>
    </row>
    <row r="10" ht="216.3000030517578" customFormat="1" customHeight="1" s="203">
      <c r="A10" s="243" t="n"/>
      <c r="B10" s="243" t="n"/>
      <c r="C10" s="243" t="n"/>
      <c r="D10" s="243" t="n"/>
      <c r="E10" s="243" t="n"/>
      <c r="F10" s="243" t="n"/>
      <c r="G10" s="243" t="n"/>
      <c r="H10" s="243" t="n"/>
      <c r="I10" s="243" t="n"/>
      <c r="J10" s="243" t="n"/>
      <c r="K10" s="243" t="n"/>
      <c r="L10" s="243" t="n"/>
      <c r="M10" s="243" t="n"/>
      <c r="N10" s="243" t="n"/>
      <c r="O10" s="243" t="n"/>
      <c r="P10" s="243" t="n"/>
      <c r="Q10" s="243" t="n"/>
      <c r="R10" s="243" t="n"/>
      <c r="S10" s="243" t="n"/>
      <c r="T10" s="243" t="n"/>
      <c r="U10" s="243" t="n"/>
      <c r="V10" s="243" t="n"/>
      <c r="W10" s="243" t="n"/>
      <c r="X10" s="229" t="inlineStr">
        <is>
          <t>2022-06-28</t>
        </is>
      </c>
      <c r="Y10" s="236" t="inlineStr">
        <is>
          <t>XCD2206280004、XCD2206280031、XCD2206280034、XCD2206280036、XCD2206280037、XCD2206280039、XCD2206280041、XCD2206280048、XCD2206280050、XCD2206280051、XCD2206280052、XCD2206280053、XCD2206280057、XCD2206280059、XCD2206280060</t>
        </is>
      </c>
      <c r="Z10" s="237" t="n">
        <v>90764.74096</v>
      </c>
      <c r="AA10" s="234" t="n">
        <v>1718811.01</v>
      </c>
      <c r="AB10" s="243" t="n"/>
      <c r="AC10" s="243" t="n"/>
      <c r="AD10" s="243" t="n"/>
      <c r="AE10" s="243" t="n"/>
      <c r="AF10" s="243" t="n"/>
      <c r="AG10" s="243" t="n"/>
      <c r="AH10" s="243" t="n"/>
      <c r="AI10" s="243" t="n"/>
      <c r="AJ10" s="243" t="n"/>
      <c r="AK10" s="243" t="n"/>
      <c r="AL10" s="243" t="n"/>
      <c r="AM10" s="243" t="n"/>
      <c r="AN10" s="243" t="n"/>
      <c r="AO10" s="243" t="n"/>
      <c r="AP10" s="243" t="n"/>
      <c r="AQ10" s="243" t="n"/>
      <c r="AR10" s="243" t="n"/>
      <c r="AS10" s="243" t="n"/>
      <c r="AT10" s="243" t="n"/>
      <c r="AU10" s="243" t="n"/>
      <c r="AV10" s="243" t="n"/>
    </row>
    <row r="11" ht="216.3000030517578" customFormat="1" customHeight="1" s="203">
      <c r="A11" s="243" t="n"/>
      <c r="B11" s="243" t="n"/>
      <c r="C11" s="243" t="n"/>
      <c r="D11" s="243" t="n"/>
      <c r="E11" s="243" t="n"/>
      <c r="F11" s="243" t="n"/>
      <c r="G11" s="243" t="n"/>
      <c r="H11" s="243" t="n"/>
      <c r="I11" s="243" t="n"/>
      <c r="J11" s="243" t="n"/>
      <c r="K11" s="243" t="n"/>
      <c r="L11" s="243" t="n"/>
      <c r="M11" s="243" t="n"/>
      <c r="N11" s="243" t="n"/>
      <c r="O11" s="243" t="n"/>
      <c r="P11" s="243" t="n"/>
      <c r="Q11" s="243" t="n"/>
      <c r="R11" s="243" t="n"/>
      <c r="S11" s="243" t="n"/>
      <c r="T11" s="243" t="n"/>
      <c r="U11" s="243" t="n"/>
      <c r="V11" s="243" t="n"/>
      <c r="W11" s="243" t="n"/>
      <c r="X11" s="228" t="inlineStr">
        <is>
          <t>2022-06-30</t>
        </is>
      </c>
      <c r="Y11" s="236" t="inlineStr">
        <is>
          <t>CKT2207020009、XCD2206300020、XCD2206300021、XCD2206300022、XCD2206300023、XCD2206300024、XCD2206300025、XCD2206300026、XCD2206300027、XCD2206300028、XCD2206300029、XCD2206300030、XCD2206300031、XCD2206300032、XCD2206300033、XCD2206300034</t>
        </is>
      </c>
      <c r="Z11" s="237" t="n">
        <v>90764.74096</v>
      </c>
      <c r="AA11" s="234" t="n">
        <v>1718810.42</v>
      </c>
      <c r="AB11" s="243" t="n"/>
      <c r="AC11" s="243" t="n"/>
      <c r="AD11" s="243" t="n"/>
      <c r="AE11" s="243" t="n"/>
      <c r="AF11" s="243" t="n"/>
      <c r="AG11" s="243" t="n"/>
      <c r="AH11" s="243" t="n"/>
      <c r="AI11" s="243" t="n"/>
      <c r="AJ11" s="243" t="n"/>
      <c r="AK11" s="243" t="n"/>
      <c r="AL11" s="243" t="n"/>
      <c r="AM11" s="243" t="n"/>
      <c r="AN11" s="243" t="n"/>
      <c r="AO11" s="243" t="n"/>
      <c r="AP11" s="243" t="n"/>
      <c r="AQ11" s="243" t="n"/>
      <c r="AR11" s="243" t="n"/>
      <c r="AS11" s="243" t="n"/>
      <c r="AT11" s="243" t="n"/>
      <c r="AU11" s="243" t="n"/>
      <c r="AV11" s="243" t="n"/>
    </row>
    <row r="12" ht="129.6000061035156" customFormat="1" customHeight="1" s="203">
      <c r="A12" s="243" t="n"/>
      <c r="B12" s="243" t="n"/>
      <c r="C12" s="243" t="n"/>
      <c r="D12" s="243" t="n"/>
      <c r="E12" s="243" t="n"/>
      <c r="F12" s="243" t="n"/>
      <c r="G12" s="243" t="n"/>
      <c r="H12" s="243" t="n"/>
      <c r="I12" s="243" t="n"/>
      <c r="J12" s="243" t="n"/>
      <c r="K12" s="243" t="n"/>
      <c r="L12" s="243" t="n"/>
      <c r="M12" s="243" t="n"/>
      <c r="N12" s="243" t="n"/>
      <c r="O12" s="243" t="n"/>
      <c r="P12" s="243" t="n"/>
      <c r="Q12" s="243" t="n"/>
      <c r="R12" s="243" t="n"/>
      <c r="S12" s="243" t="n"/>
      <c r="T12" s="243" t="n"/>
      <c r="U12" s="243" t="n"/>
      <c r="V12" s="243" t="n"/>
      <c r="W12" s="243" t="n"/>
      <c r="X12" s="229" t="inlineStr">
        <is>
          <t>2022-07-28</t>
        </is>
      </c>
      <c r="Y12" s="236" t="inlineStr">
        <is>
          <t>XCD2207280001</t>
        </is>
      </c>
      <c r="Z12" s="237" t="n">
        <v>512.5632000000001</v>
      </c>
      <c r="AA12" s="234" t="n">
        <v>10451.27</v>
      </c>
      <c r="AB12" s="243" t="n"/>
      <c r="AC12" s="243" t="n"/>
      <c r="AD12" s="243" t="n"/>
      <c r="AE12" s="243" t="n"/>
      <c r="AF12" s="243" t="n"/>
      <c r="AG12" s="243" t="n"/>
      <c r="AH12" s="243" t="n"/>
      <c r="AI12" s="243" t="n"/>
      <c r="AJ12" s="243" t="n"/>
      <c r="AK12" s="243" t="n"/>
      <c r="AL12" s="243" t="n"/>
      <c r="AM12" s="243" t="n"/>
      <c r="AN12" s="243" t="n"/>
      <c r="AO12" s="243" t="n"/>
      <c r="AP12" s="243" t="n"/>
      <c r="AQ12" s="243" t="n"/>
      <c r="AR12" s="243" t="n"/>
      <c r="AS12" s="243" t="n"/>
      <c r="AT12" s="243" t="n"/>
      <c r="AU12" s="243" t="n"/>
      <c r="AV12" s="243" t="n"/>
    </row>
    <row r="13" ht="129.6000061035156" customFormat="1" customHeight="1" s="203">
      <c r="A13" s="243" t="n"/>
      <c r="B13" s="243" t="n"/>
      <c r="C13" s="243" t="n"/>
      <c r="D13" s="243" t="n"/>
      <c r="E13" s="243" t="n"/>
      <c r="F13" s="243" t="n"/>
      <c r="G13" s="243" t="n"/>
      <c r="H13" s="243" t="n"/>
      <c r="I13" s="243" t="n"/>
      <c r="J13" s="243" t="n"/>
      <c r="K13" s="243" t="n"/>
      <c r="L13" s="243" t="n"/>
      <c r="M13" s="243" t="n"/>
      <c r="N13" s="243" t="n"/>
      <c r="O13" s="243" t="n"/>
      <c r="P13" s="243" t="n"/>
      <c r="Q13" s="243" t="n"/>
      <c r="R13" s="243" t="n"/>
      <c r="S13" s="243" t="n"/>
      <c r="T13" s="243" t="n"/>
      <c r="U13" s="243" t="n"/>
      <c r="V13" s="243" t="n"/>
      <c r="W13" s="243" t="n"/>
      <c r="X13" s="228" t="inlineStr">
        <is>
          <t>2022-07-29</t>
        </is>
      </c>
      <c r="Y13" s="236" t="inlineStr">
        <is>
          <t>XCD2207290022</t>
        </is>
      </c>
      <c r="Z13" s="234" t="n">
        <v>512.5632000000001</v>
      </c>
      <c r="AA13" s="234" t="n">
        <v>10451.27</v>
      </c>
      <c r="AB13" s="243" t="n"/>
      <c r="AC13" s="243" t="n"/>
      <c r="AD13" s="243" t="n"/>
      <c r="AE13" s="243" t="n"/>
      <c r="AF13" s="243" t="n"/>
      <c r="AG13" s="243" t="n"/>
      <c r="AH13" s="243" t="n"/>
      <c r="AI13" s="243" t="n"/>
      <c r="AJ13" s="243" t="n"/>
      <c r="AK13" s="243" t="n"/>
      <c r="AL13" s="243" t="n"/>
      <c r="AM13" s="243" t="n"/>
      <c r="AN13" s="243" t="n"/>
      <c r="AO13" s="243" t="n"/>
      <c r="AP13" s="243" t="n"/>
      <c r="AQ13" s="243" t="n"/>
      <c r="AR13" s="243" t="n"/>
      <c r="AS13" s="243" t="n"/>
      <c r="AT13" s="243" t="n"/>
      <c r="AU13" s="243" t="n"/>
      <c r="AV13" s="243" t="n"/>
    </row>
    <row r="14" ht="245.3999938964844" customFormat="1" customHeight="1" s="203">
      <c r="A14" s="243" t="n"/>
      <c r="B14" s="243" t="n"/>
      <c r="C14" s="243" t="n"/>
      <c r="D14" s="243" t="n"/>
      <c r="E14" s="243" t="n"/>
      <c r="F14" s="243" t="n"/>
      <c r="G14" s="243" t="n"/>
      <c r="H14" s="243" t="n"/>
      <c r="I14" s="243" t="n"/>
      <c r="J14" s="243" t="n"/>
      <c r="K14" s="243" t="n"/>
      <c r="L14" s="243" t="n"/>
      <c r="M14" s="243" t="n"/>
      <c r="N14" s="243" t="n"/>
      <c r="O14" s="243" t="n"/>
      <c r="P14" s="243" t="n"/>
      <c r="Q14" s="243" t="n"/>
      <c r="R14" s="243" t="n"/>
      <c r="S14" s="243" t="n"/>
      <c r="T14" s="243" t="n"/>
      <c r="U14" s="243" t="n"/>
      <c r="V14" s="243" t="n"/>
      <c r="W14" s="243" t="n"/>
      <c r="X14" s="229" t="inlineStr">
        <is>
          <t>2022-09-30</t>
        </is>
      </c>
      <c r="Y14" s="236" t="inlineStr">
        <is>
          <t>XCD2209300021、XCD2209300027、XCD2209300028、XCD2209300029、XCD2209300030、XCD2209300031、XCD2209300032、XCD2209300033、XCD2209300038、XCD2209300039、XCD2209300040、XCD2209300041、XCD2209300044、XCD2209300045、XCD2209300053、XCD2209300054、XCD2209300055、XCD2209300056、XCD2209300057、XCD2209300058、XCD2209300059、XCD2209300060、XCD2209300061、XCD2209300062、XCD2209300063、XCD2209300083、XCD2209300084、XCD2209300085、XCD2209300091、XCD2209300092、XCD2209300093、XCD2209300095、XCD2209300096、XCD2210010028、XCD2210010029、XCD2210010030、XCD2210010031、XCD2210010032、XCD2210010033、XCD2210010034、XCD2210010035、XCD2210010036、XCD2210010037、XCD2210010038、XCD2210010039、XCD2210010040、XCD2210010041、XCD2210010042、XCD2210010043、XCD2210010044、XCD2210010045、XCD2210010046、XCD2210010047、XCD2210010048、XCD2210010049、XCD2210010050、XCD2210010051、XCD2210010052、XCD2210010053、XCD2210010054、XCD2210010055、XCD2210010056、XCD2210010057、XCD2210010058、XCD2210010059、XCD2210010060</t>
        </is>
      </c>
      <c r="Z14" s="234" t="n">
        <v>430553.088</v>
      </c>
      <c r="AA14" s="234" t="n">
        <v>7423085.6</v>
      </c>
      <c r="AB14" s="243" t="n"/>
      <c r="AC14" s="243" t="n"/>
      <c r="AD14" s="243" t="n"/>
      <c r="AE14" s="243" t="n"/>
      <c r="AF14" s="243" t="n"/>
      <c r="AG14" s="243" t="n"/>
      <c r="AH14" s="243" t="n"/>
      <c r="AI14" s="243" t="n"/>
      <c r="AJ14" s="243" t="n"/>
      <c r="AK14" s="243" t="n"/>
      <c r="AL14" s="243" t="n"/>
      <c r="AM14" s="243" t="n"/>
      <c r="AN14" s="243" t="n"/>
      <c r="AO14" s="243" t="n"/>
      <c r="AP14" s="243" t="n"/>
      <c r="AQ14" s="243" t="n"/>
      <c r="AR14" s="243" t="n"/>
      <c r="AS14" s="243" t="n"/>
      <c r="AT14" s="243" t="n"/>
      <c r="AU14" s="243" t="n"/>
      <c r="AV14" s="243" t="n"/>
    </row>
    <row r="15" ht="409.5" customFormat="1" customHeight="1" s="203">
      <c r="A15" s="245" t="n"/>
      <c r="B15" s="245" t="n"/>
      <c r="C15" s="245" t="n"/>
      <c r="D15" s="245" t="n"/>
      <c r="E15" s="245" t="n"/>
      <c r="F15" s="245" t="n"/>
      <c r="G15" s="245" t="n"/>
      <c r="H15" s="245" t="n"/>
      <c r="I15" s="245" t="n"/>
      <c r="J15" s="245" t="n"/>
      <c r="K15" s="245" t="n"/>
      <c r="L15" s="245" t="n"/>
      <c r="M15" s="245" t="n"/>
      <c r="N15" s="245" t="n"/>
      <c r="O15" s="245" t="n"/>
      <c r="P15" s="245" t="n"/>
      <c r="Q15" s="245" t="n"/>
      <c r="R15" s="245" t="n"/>
      <c r="S15" s="245" t="n"/>
      <c r="T15" s="245" t="n"/>
      <c r="U15" s="245" t="n"/>
      <c r="V15" s="245" t="n"/>
      <c r="W15" s="245" t="n"/>
      <c r="X15" s="229" t="inlineStr">
        <is>
          <t>2022-10-31</t>
        </is>
      </c>
      <c r="Y15" s="236" t="inlineStr">
        <is>
          <t>XCD2211010009、XCD2211010010、XCD2211010011、XCD2211010012、XCD2211010013、XCD2211010014、XCD2211010015、XCD2211010016、XCD2211010017、XCD2211010018、XCD2211010019、XCD2211010020、XCD2211010021、XCD2211010022、XCD2211010023、XCD2211010024、XCD2211010025、XCD2211010026、XCD2211010027、XCD2211010028、XCD2211010029、XCD2211010030、XCD2211010031、XCD2211010032、XCD2211010268、XCD2211010269、XCD2211010270、XCD2211010271、XCD2211010272、XCD2211010273、XCD2211010274、XCD2211010275、XCD2211010276、XCD2211010277、XCD2211010278、XCD2211010279、XCD2211010280、XCD2211010281、XCD2211010282、XCD2211010283、XCD2211010284、XCD2211010285、XCD2211010286、XCD2211010287、XCD2211010288、XCD2211010289、XCD2211010290、XCD2211010291</t>
        </is>
      </c>
      <c r="Z15" s="234" t="n">
        <v>313688.6784</v>
      </c>
      <c r="AA15" s="234" t="n">
        <v>5408419.44</v>
      </c>
      <c r="AB15" s="245" t="n"/>
      <c r="AC15" s="245" t="n"/>
      <c r="AD15" s="245" t="n"/>
      <c r="AE15" s="245" t="n"/>
      <c r="AF15" s="245" t="n"/>
      <c r="AG15" s="245" t="n"/>
      <c r="AH15" s="245" t="n"/>
      <c r="AI15" s="245" t="n"/>
      <c r="AJ15" s="245" t="n"/>
      <c r="AK15" s="245" t="n"/>
      <c r="AL15" s="245" t="n"/>
      <c r="AM15" s="245" t="n"/>
      <c r="AN15" s="245" t="n"/>
      <c r="AO15" s="245" t="n"/>
      <c r="AP15" s="245" t="n"/>
      <c r="AQ15" s="245" t="n"/>
      <c r="AR15" s="245" t="n"/>
      <c r="AS15" s="245" t="n"/>
      <c r="AT15" s="245" t="n"/>
      <c r="AU15" s="245" t="n"/>
      <c r="AV15" s="245" t="n"/>
    </row>
    <row r="16" ht="409.5" customFormat="1" customHeight="1" s="203">
      <c r="A16" s="246" t="inlineStr">
        <is>
          <t>2</t>
        </is>
      </c>
      <c r="B16" s="246" t="inlineStr">
        <is>
          <t>JSLJ·ZGNB20221010</t>
        </is>
      </c>
      <c r="C16" s="247" t="inlineStr">
        <is>
          <t>2022-10-10</t>
        </is>
      </c>
      <c r="D16" s="248" t="inlineStr">
        <is>
          <t>江苏宇辉光伏科技有限公司</t>
        </is>
      </c>
      <c r="E16" s="249" t="inlineStr">
        <is>
          <t>单玻玻璃</t>
        </is>
      </c>
      <c r="F16" s="249" t="inlineStr">
        <is>
          <t>超白压花普通钢化镀膜-2272×1128×3.2mm</t>
        </is>
      </c>
      <c r="G16" s="250" t="n">
        <v>5900</v>
      </c>
      <c r="H16" s="251">
        <f>I16/G16</f>
        <v/>
      </c>
      <c r="I16" s="251" t="n">
        <v>393117</v>
      </c>
      <c r="J16" s="246" t="inlineStr">
        <is>
          <t>2022年10月17日开始每天两车</t>
        </is>
      </c>
      <c r="K16" s="246" t="inlineStr">
        <is>
          <t>待人工核对</t>
        </is>
      </c>
      <c r="L16" s="246" t="inlineStr">
        <is>
          <t>待人工核对</t>
        </is>
      </c>
      <c r="M16" s="246" t="inlineStr">
        <is>
          <t>待人工核对</t>
        </is>
      </c>
      <c r="N16" s="246" t="inlineStr">
        <is>
          <t>待人工核对</t>
        </is>
      </c>
      <c r="O16" s="246" t="inlineStr">
        <is>
          <t>待人工核对</t>
        </is>
      </c>
      <c r="P16" s="246" t="inlineStr">
        <is>
          <t>待人工核对</t>
        </is>
      </c>
      <c r="Q16" s="235" t="n"/>
      <c r="R16" s="235" t="n"/>
      <c r="S16" s="235" t="n"/>
      <c r="T16" s="235" t="n"/>
      <c r="U16" s="235" t="n"/>
      <c r="V16" s="235" t="n"/>
      <c r="W16" s="235" t="n"/>
      <c r="X16" s="247" t="inlineStr">
        <is>
          <t>2022-07-29</t>
        </is>
      </c>
      <c r="Y16" s="252" t="inlineStr">
        <is>
          <t>XCD2207290003、XCD2207290004、XCD2207290005、XCD2207290006、XCD2207290007、XCD2207290008、XCD2207290009、XCD2207290010、XCD2207290011、XCD2207290012、XCD2207290013、XCD2207290014、XCD2207290015、XCD2207290025、XCD2207290026、XCD2207290027、XCD2207290028、XCD2207290029、XCD2207290030、XCD2207290031、XCD2207290032、XCD2207290033、XCD2207290034、XCD2207290035、XCD2207290036、XCD2207290037</t>
        </is>
      </c>
      <c r="Z16" s="253" t="n">
        <v>106660.0704</v>
      </c>
      <c r="AA16" s="253" t="n">
        <v>2518310.08</v>
      </c>
      <c r="AB16" s="246" t="inlineStr">
        <is>
          <t>待人工核对</t>
        </is>
      </c>
      <c r="AC16" s="246" t="inlineStr">
        <is>
          <t>待人工核对</t>
        </is>
      </c>
      <c r="AD16" s="246" t="inlineStr">
        <is>
          <t>待人工核对</t>
        </is>
      </c>
      <c r="AE16" s="254" t="inlineStr">
        <is>
          <t>系统结论：需人工复核；合同数量计量单位为「片」，出库台账计量单位为「平方米」，口径不同，已分列不混填；物流记录(出库)已按出库日期逐行展开：一个日期一行，编号列汇总该日期全部出库单号，数量/金额为该日期合计；出库数量/金额为该客户全期出库台账合计，与单一PO金额口径不同，是否对应本合同批次需人工确认；发票/记账凭证/明细账不在本次材料范围（相应列留空）；勾稽：合同金额(393117.0) 与出库金额合计(12405000.76) 不一致（口径不同，需人工判断是否合理）；签订日期(2022-10-10)晚于出库日期(2022-07-29)</t>
        </is>
      </c>
      <c r="AF16" s="239" t="n"/>
      <c r="AG16" s="240" t="n"/>
      <c r="AH16" s="235" t="n"/>
      <c r="AI16" s="235" t="n"/>
      <c r="AJ16" s="235" t="n"/>
      <c r="AK16" s="235" t="n"/>
      <c r="AL16" s="235" t="n"/>
      <c r="AM16" s="238" t="n"/>
      <c r="AN16" s="242" t="n"/>
      <c r="AO16" s="242" t="n"/>
      <c r="AP16" s="242" t="n"/>
      <c r="AQ16" s="242" t="n"/>
      <c r="AR16" s="242" t="n"/>
      <c r="AS16" s="242" t="n"/>
      <c r="AT16" s="242" t="n"/>
      <c r="AU16" s="242" t="n"/>
      <c r="AV16" s="242" t="n"/>
    </row>
    <row r="17" customFormat="1" s="203">
      <c r="A17" s="243" t="n"/>
      <c r="B17" s="243" t="n"/>
      <c r="C17" s="243" t="n"/>
      <c r="D17" s="243" t="n"/>
      <c r="E17" s="243" t="n"/>
      <c r="F17" s="243" t="n"/>
      <c r="G17" s="243" t="n"/>
      <c r="H17" s="243" t="n"/>
      <c r="I17" s="243" t="n"/>
      <c r="J17" s="243" t="n"/>
      <c r="K17" s="243" t="n"/>
      <c r="L17" s="243" t="n"/>
      <c r="M17" s="243" t="n"/>
      <c r="N17" s="243" t="n"/>
      <c r="O17" s="243" t="n"/>
      <c r="P17" s="243" t="n"/>
      <c r="Q17" s="243" t="n"/>
      <c r="R17" s="243" t="n"/>
      <c r="S17" s="243" t="n"/>
      <c r="T17" s="243" t="n"/>
      <c r="U17" s="243" t="n"/>
      <c r="V17" s="243" t="n"/>
      <c r="W17" s="243" t="n"/>
      <c r="X17" s="228" t="inlineStr">
        <is>
          <t>2022-07-31</t>
        </is>
      </c>
      <c r="Y17" s="236" t="inlineStr">
        <is>
          <t>CKT2208010012、XCD2208010002、XCD2208010003、XCD2208010004、XCD2208010005、XCD2208010006、XCD2208010007、XCD2208010008、XCD2208010009、XCD2208010010、XCD2208010011、XCD2208010012、XCD2208010013</t>
        </is>
      </c>
      <c r="Z17" s="234" t="n">
        <v>49227.7248</v>
      </c>
      <c r="AA17" s="234" t="n">
        <v>1162297.1</v>
      </c>
      <c r="AB17" s="243" t="n"/>
      <c r="AC17" s="243" t="n"/>
      <c r="AD17" s="243" t="n"/>
      <c r="AE17" s="243" t="n"/>
      <c r="AF17" s="243" t="n"/>
      <c r="AG17" s="243" t="n"/>
      <c r="AH17" s="243" t="n"/>
      <c r="AI17" s="243" t="n"/>
      <c r="AJ17" s="243" t="n"/>
      <c r="AK17" s="243" t="n"/>
      <c r="AL17" s="243" t="n"/>
      <c r="AM17" s="243" t="n"/>
      <c r="AN17" s="243" t="n"/>
      <c r="AO17" s="243" t="n"/>
      <c r="AP17" s="243" t="n"/>
      <c r="AQ17" s="243" t="n"/>
      <c r="AR17" s="243" t="n"/>
      <c r="AS17" s="243" t="n"/>
      <c r="AT17" s="243" t="n"/>
      <c r="AU17" s="243" t="n"/>
      <c r="AV17" s="243" t="n"/>
    </row>
    <row r="18" ht="27.60000038146973" customFormat="1" customHeight="1" s="203">
      <c r="A18" s="243" t="n"/>
      <c r="B18" s="243" t="n"/>
      <c r="C18" s="243" t="n"/>
      <c r="D18" s="243" t="n"/>
      <c r="E18" s="243" t="n"/>
      <c r="F18" s="243" t="n"/>
      <c r="G18" s="243" t="n"/>
      <c r="H18" s="243" t="n"/>
      <c r="I18" s="243" t="n"/>
      <c r="J18" s="243" t="n"/>
      <c r="K18" s="243" t="n"/>
      <c r="L18" s="243" t="n"/>
      <c r="M18" s="243" t="n"/>
      <c r="N18" s="243" t="n"/>
      <c r="O18" s="243" t="n"/>
      <c r="P18" s="243" t="n"/>
      <c r="Q18" s="243" t="n"/>
      <c r="R18" s="243" t="n"/>
      <c r="S18" s="243" t="n"/>
      <c r="T18" s="243" t="n"/>
      <c r="U18" s="243" t="n"/>
      <c r="V18" s="243" t="n"/>
      <c r="W18" s="243" t="n"/>
      <c r="X18" s="229" t="inlineStr">
        <is>
          <t>2022-08-16</t>
        </is>
      </c>
      <c r="Y18" s="236" t="inlineStr">
        <is>
          <t>XCD2208160001、XCD2208160002、XCD2208160003、XCD2208160004、XCD2208160005、XCD2208160006、XCD2208160007、XCD2208160008、XCD2208160009、XCD2208160010、XCD2208160011、XCD2208160012、XCD2208160013、XCD2208160014、XCD2208160015、XCD2208160016、XCD2208160017、XCD2208160018、XCD2208160019、XCD2208160020、XCD2208160021、XCD2208160022、XCD2208160023、XCD2208160025</t>
        </is>
      </c>
      <c r="Z18" s="234" t="n">
        <v>96917.08319999999</v>
      </c>
      <c r="AA18" s="234" t="n">
        <v>2255964.48</v>
      </c>
      <c r="AB18" s="243" t="n"/>
      <c r="AC18" s="243" t="n"/>
      <c r="AD18" s="243" t="n"/>
      <c r="AE18" s="243" t="n"/>
      <c r="AF18" s="243" t="n"/>
      <c r="AG18" s="243" t="n"/>
      <c r="AH18" s="243" t="n"/>
      <c r="AI18" s="243" t="n"/>
      <c r="AJ18" s="243" t="n"/>
      <c r="AK18" s="243" t="n"/>
      <c r="AL18" s="243" t="n"/>
      <c r="AM18" s="243" t="n"/>
      <c r="AN18" s="243" t="n"/>
      <c r="AO18" s="243" t="n"/>
      <c r="AP18" s="243" t="n"/>
      <c r="AQ18" s="243" t="n"/>
      <c r="AR18" s="243" t="n"/>
      <c r="AS18" s="243" t="n"/>
      <c r="AT18" s="243" t="n"/>
      <c r="AU18" s="243" t="n"/>
      <c r="AV18" s="243" t="n"/>
    </row>
    <row r="19" ht="125.6999969482422" customFormat="1" customHeight="1" s="203">
      <c r="A19" s="243" t="n"/>
      <c r="B19" s="243" t="n"/>
      <c r="C19" s="243" t="n"/>
      <c r="D19" s="243" t="n"/>
      <c r="E19" s="243" t="n"/>
      <c r="F19" s="243" t="n"/>
      <c r="G19" s="243" t="n"/>
      <c r="H19" s="243" t="n"/>
      <c r="I19" s="243" t="n"/>
      <c r="J19" s="243" t="n"/>
      <c r="K19" s="243" t="n"/>
      <c r="L19" s="243" t="n"/>
      <c r="M19" s="243" t="n"/>
      <c r="N19" s="243" t="n"/>
      <c r="O19" s="243" t="n"/>
      <c r="P19" s="243" t="n"/>
      <c r="Q19" s="243" t="n"/>
      <c r="R19" s="243" t="n"/>
      <c r="S19" s="243" t="n"/>
      <c r="T19" s="243" t="n"/>
      <c r="U19" s="243" t="n"/>
      <c r="V19" s="243" t="n"/>
      <c r="W19" s="243" t="n"/>
      <c r="X19" s="229" t="inlineStr">
        <is>
          <t>2022-08-31</t>
        </is>
      </c>
      <c r="Y19" s="236" t="inlineStr">
        <is>
          <t>XCD2208310027、XCD2208310028、XCD2208310029、XCD2208310030、XCD2208310031、XCD2208310032、XCD2208310033、XCD2208310034、XCD2208310035、XCD2208310036、XCD2208310037、XCD2208310038、XCD2208310039、XCD2208310040、XCD2208310041、XCD2208310042、XCD2208310043、XCD2208310044、XCD2208310045、XCD2208310046、XCD2208310047、XCD2208310048、XCD2208310049、XCD2208310050</t>
        </is>
      </c>
      <c r="Z19" s="234" t="n">
        <v>96917.08319999999</v>
      </c>
      <c r="AA19" s="234" t="n">
        <v>2255964.48</v>
      </c>
      <c r="AB19" s="243" t="n"/>
      <c r="AC19" s="243" t="n"/>
      <c r="AD19" s="243" t="n"/>
      <c r="AE19" s="243" t="n"/>
      <c r="AF19" s="243" t="n"/>
      <c r="AG19" s="243" t="n"/>
      <c r="AH19" s="243" t="n"/>
      <c r="AI19" s="243" t="n"/>
      <c r="AJ19" s="243" t="n"/>
      <c r="AK19" s="243" t="n"/>
      <c r="AL19" s="243" t="n"/>
      <c r="AM19" s="243" t="n"/>
      <c r="AN19" s="243" t="n"/>
      <c r="AO19" s="243" t="n"/>
      <c r="AP19" s="243" t="n"/>
      <c r="AQ19" s="243" t="n"/>
      <c r="AR19" s="243" t="n"/>
      <c r="AS19" s="243" t="n"/>
      <c r="AT19" s="243" t="n"/>
      <c r="AU19" s="243" t="n"/>
      <c r="AV19" s="243" t="n"/>
    </row>
    <row r="20" ht="86.69999694824219" customFormat="1" customHeight="1" s="203">
      <c r="A20" s="243" t="n"/>
      <c r="B20" s="243" t="n"/>
      <c r="C20" s="243" t="n"/>
      <c r="D20" s="243" t="n"/>
      <c r="E20" s="243" t="n"/>
      <c r="F20" s="243" t="n"/>
      <c r="G20" s="243" t="n"/>
      <c r="H20" s="243" t="n"/>
      <c r="I20" s="243" t="n"/>
      <c r="J20" s="243" t="n"/>
      <c r="K20" s="243" t="n"/>
      <c r="L20" s="243" t="n"/>
      <c r="M20" s="243" t="n"/>
      <c r="N20" s="243" t="n"/>
      <c r="O20" s="243" t="n"/>
      <c r="P20" s="243" t="n"/>
      <c r="Q20" s="243" t="n"/>
      <c r="R20" s="243" t="n"/>
      <c r="S20" s="243" t="n"/>
      <c r="T20" s="243" t="n"/>
      <c r="U20" s="243" t="n"/>
      <c r="V20" s="243" t="n"/>
      <c r="W20" s="243" t="n"/>
      <c r="X20" s="228" t="inlineStr">
        <is>
          <t>2022-09-30</t>
        </is>
      </c>
      <c r="Y20" s="236" t="inlineStr">
        <is>
          <t>XCD2209300014、XCD2209300015、XCD2209300019、XCD2209300024、XCD2209300036、XCD2209300098、XCD2209300099、XCD2209300100、XCD2209300108、XCD2210010006、XCD2210010061、XCD2210010062、XCD2210010063、XCD2210010064、XCD2210010065、XCD2210010066、XCD2210010067、XCD2210010068、XCD2210010069、XCD2210010070</t>
        </is>
      </c>
      <c r="Z20" s="234" t="n">
        <v>73830.0816</v>
      </c>
      <c r="AA20" s="234" t="n">
        <v>1646665.02</v>
      </c>
      <c r="AB20" s="243" t="n"/>
      <c r="AC20" s="243" t="n"/>
      <c r="AD20" s="243" t="n"/>
      <c r="AE20" s="243" t="n"/>
      <c r="AF20" s="243" t="n"/>
      <c r="AG20" s="243" t="n"/>
      <c r="AH20" s="243" t="n"/>
      <c r="AI20" s="243" t="n"/>
      <c r="AJ20" s="243" t="n"/>
      <c r="AK20" s="243" t="n"/>
      <c r="AL20" s="243" t="n"/>
      <c r="AM20" s="243" t="n"/>
      <c r="AN20" s="243" t="n"/>
      <c r="AO20" s="243" t="n"/>
      <c r="AP20" s="243" t="n"/>
      <c r="AQ20" s="243" t="n"/>
      <c r="AR20" s="243" t="n"/>
      <c r="AS20" s="243" t="n"/>
      <c r="AT20" s="243" t="n"/>
      <c r="AU20" s="243" t="n"/>
      <c r="AV20" s="243" t="n"/>
    </row>
    <row r="21" hidden="1" customFormat="1" s="203">
      <c r="A21" s="245" t="n"/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5" t="n"/>
      <c r="W21" s="245" t="n"/>
      <c r="X21" s="228" t="inlineStr">
        <is>
          <t>2022-10-31</t>
        </is>
      </c>
      <c r="Y21" s="236" t="inlineStr">
        <is>
          <t>CKT2211010013、CKT2211010015、XCD2211010001、XCD2211010002、XCD2211010003、XCD2211010004、XCD2211010052、XCD2211010053、XCD2211010054、XCD2211010055、XCD2211010056、XCD2211010057、XCD2211010058、XCD2211010059、XCD2211010060、XCD2211010061、XCD2211010062、XCD2211010063、XCD2211010064、XCD2211010065、XCD2211010066、XCD2211010156、XCD2211010160、XCD2211010161、XCD2211010162、XCD2211010163、XCD2211010169、XCD2211010221、XCD2211010222、XCD2211010233、XCD2211010234、XCD2211010235</t>
        </is>
      </c>
      <c r="Z21" s="234" t="n">
        <v>116015.2512</v>
      </c>
      <c r="AA21" s="234" t="n">
        <v>2565799.6</v>
      </c>
      <c r="AB21" s="245" t="n"/>
      <c r="AC21" s="245" t="n"/>
      <c r="AD21" s="245" t="n"/>
      <c r="AE21" s="245" t="n"/>
      <c r="AF21" s="245" t="n"/>
      <c r="AG21" s="245" t="n"/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5" t="n"/>
      <c r="AR21" s="245" t="n"/>
      <c r="AS21" s="245" t="n"/>
      <c r="AT21" s="245" t="n"/>
      <c r="AU21" s="245" t="n"/>
      <c r="AV21" s="245" t="n"/>
    </row>
    <row r="22" hidden="1" customFormat="1" s="203">
      <c r="A22" s="246" t="inlineStr">
        <is>
          <t>3</t>
        </is>
      </c>
      <c r="B22" s="246" t="inlineStr">
        <is>
          <t>YDQZ202200200</t>
        </is>
      </c>
      <c r="C22" s="246" t="inlineStr">
        <is>
          <t>2022-10-09</t>
        </is>
      </c>
      <c r="D22" s="248" t="inlineStr">
        <is>
          <t>一道新能源科技（衢州）有限公司</t>
        </is>
      </c>
      <c r="E22" s="249" t="inlineStr">
        <is>
          <t>玻璃_镀膜钢化</t>
        </is>
      </c>
      <c r="F22" s="249" t="inlineStr">
        <is>
          <t>超白压花,2272*1128*3.2</t>
        </is>
      </c>
      <c r="G22" s="250" t="n">
        <v>12800</v>
      </c>
      <c r="H22" s="253">
        <f>I22/G22</f>
        <v/>
      </c>
      <c r="I22" s="253" t="n">
        <v>836480</v>
      </c>
      <c r="J22" s="246" t="inlineStr">
        <is>
          <t>2022-10-20</t>
        </is>
      </c>
      <c r="K22" s="246" t="inlineStr">
        <is>
          <t>待人工核对</t>
        </is>
      </c>
      <c r="L22" s="246" t="inlineStr">
        <is>
          <t>待人工核对</t>
        </is>
      </c>
      <c r="M22" s="246" t="inlineStr">
        <is>
          <t>待人工核对</t>
        </is>
      </c>
      <c r="N22" s="246" t="inlineStr">
        <is>
          <t>待人工核对</t>
        </is>
      </c>
      <c r="O22" s="246" t="inlineStr">
        <is>
          <t>待人工核对</t>
        </is>
      </c>
      <c r="P22" s="246" t="inlineStr">
        <is>
          <t>待人工核对</t>
        </is>
      </c>
      <c r="Q22" s="235" t="n"/>
      <c r="R22" s="235" t="n"/>
      <c r="S22" s="235" t="n"/>
      <c r="T22" s="235" t="n"/>
      <c r="U22" s="235" t="n"/>
      <c r="V22" s="235" t="n"/>
      <c r="W22" s="235" t="n"/>
      <c r="X22" s="246" t="inlineStr">
        <is>
          <t>2022-08-30</t>
        </is>
      </c>
      <c r="Y22" s="252" t="inlineStr">
        <is>
          <t>XCD2208300001、XCD2208300002、XCD2208300003、XCD2208300004、XCD2208300005、XCD2208300006、XCD2208300008、XCD2208300009、XCD2208300010、XCD2208300011、XCD2208300012、XCD2208300013、XCD2208300014、XCD2208300015、XCD2208300016、XCD2208300017、XCD2208300018、XCD2208300019、XCD2208300020、XCD2208300021</t>
        </is>
      </c>
      <c r="Z22" s="253" t="n">
        <v>74716.0128</v>
      </c>
      <c r="AA22" s="253" t="n">
        <v>1730461.16</v>
      </c>
      <c r="AB22" s="246" t="inlineStr">
        <is>
          <t>待人工核对</t>
        </is>
      </c>
      <c r="AC22" s="246" t="inlineStr">
        <is>
          <t>待人工核对</t>
        </is>
      </c>
      <c r="AD22" s="246" t="inlineStr">
        <is>
          <t>待人工核对</t>
        </is>
      </c>
      <c r="AE22" s="254" t="inlineStr">
        <is>
          <t>系统结论：需人工复核；合同数量计量单位为「块」，出库台账计量单位为「平方米」，口径不同，已分列不混填；物流记录(出库)已按出库日期逐行展开：一个日期一行，编号列汇总该日期全部出库单号，数量/金额为该日期合计；出库数量/金额为该客户全期出库台账合计，与单一PO金额口径不同，是否对应本合同批次需人工确认；发票/记账凭证/明细账不在本次材料范围（相应列留空）；勾稽：合同金额(836480.0) 与出库金额合计(18302295.87) 不一致（口径不同，需人工判断是否合理）；签订日期(2022-10-09)晚于出库日期(2022-08-30)</t>
        </is>
      </c>
      <c r="AF22" s="235" t="n"/>
      <c r="AG22" s="240" t="n"/>
      <c r="AH22" s="235" t="n"/>
      <c r="AI22" s="235" t="n"/>
      <c r="AJ22" s="235" t="n"/>
      <c r="AK22" s="235" t="n"/>
      <c r="AL22" s="235" t="n"/>
      <c r="AM22" s="238" t="n"/>
      <c r="AN22" s="242" t="n"/>
      <c r="AO22" s="242" t="n"/>
      <c r="AP22" s="242" t="n"/>
      <c r="AQ22" s="242" t="n"/>
      <c r="AR22" s="242" t="n"/>
      <c r="AS22" s="242" t="n"/>
      <c r="AT22" s="242" t="n"/>
      <c r="AU22" s="242" t="n"/>
      <c r="AV22" s="242" t="n"/>
    </row>
    <row r="23" hidden="1" customFormat="1" s="203">
      <c r="A23" s="243" t="n"/>
      <c r="B23" s="243" t="n"/>
      <c r="C23" s="243" t="n"/>
      <c r="D23" s="243" t="n"/>
      <c r="E23" s="243" t="n"/>
      <c r="F23" s="243" t="n"/>
      <c r="G23" s="243" t="n"/>
      <c r="H23" s="243" t="n"/>
      <c r="I23" s="243" t="n"/>
      <c r="J23" s="243" t="n"/>
      <c r="K23" s="243" t="n"/>
      <c r="L23" s="243" t="n"/>
      <c r="M23" s="243" t="n"/>
      <c r="N23" s="243" t="n"/>
      <c r="O23" s="243" t="n"/>
      <c r="P23" s="243" t="n"/>
      <c r="Q23" s="243" t="n"/>
      <c r="R23" s="243" t="n"/>
      <c r="S23" s="243" t="n"/>
      <c r="T23" s="243" t="n"/>
      <c r="U23" s="243" t="n"/>
      <c r="V23" s="243" t="n"/>
      <c r="W23" s="243" t="n"/>
      <c r="X23" s="228" t="inlineStr">
        <is>
          <t>2022-08-31</t>
        </is>
      </c>
      <c r="Y23" s="236" t="inlineStr">
        <is>
          <t>XCD2208310005、XCD2208310006、XCD2208310007、XCD2208310008、XCD2208310009、XCD2208310010、XCD2208310011、XCD2208310012、XCD2208310013、XCD2208310014、XCD2208310015、XCD2208310016、XCD2208310017、XCD2208310018、XCD2208310019、XCD2208310020、XCD2208310021、XCD2208310022、XCD2208310023、XCD2208310024</t>
        </is>
      </c>
      <c r="Z23" s="234" t="n">
        <v>74716.0128</v>
      </c>
      <c r="AA23" s="234" t="n">
        <v>1730461.16</v>
      </c>
      <c r="AB23" s="243" t="n"/>
      <c r="AC23" s="243" t="n"/>
      <c r="AD23" s="243" t="n"/>
      <c r="AE23" s="243" t="n"/>
      <c r="AF23" s="243" t="n"/>
      <c r="AG23" s="243" t="n"/>
      <c r="AH23" s="243" t="n"/>
      <c r="AI23" s="243" t="n"/>
      <c r="AJ23" s="243" t="n"/>
      <c r="AK23" s="243" t="n"/>
      <c r="AL23" s="243" t="n"/>
      <c r="AM23" s="243" t="n"/>
      <c r="AN23" s="243" t="n"/>
      <c r="AO23" s="243" t="n"/>
      <c r="AP23" s="243" t="n"/>
      <c r="AQ23" s="243" t="n"/>
      <c r="AR23" s="243" t="n"/>
      <c r="AS23" s="243" t="n"/>
      <c r="AT23" s="243" t="n"/>
      <c r="AU23" s="243" t="n"/>
      <c r="AV23" s="243" t="n"/>
    </row>
    <row r="24" hidden="1" customFormat="1" s="203">
      <c r="A24" s="243" t="n"/>
      <c r="B24" s="243" t="n"/>
      <c r="C24" s="243" t="n"/>
      <c r="D24" s="243" t="n"/>
      <c r="E24" s="243" t="n"/>
      <c r="F24" s="243" t="n"/>
      <c r="G24" s="243" t="n"/>
      <c r="H24" s="243" t="n"/>
      <c r="I24" s="243" t="n"/>
      <c r="J24" s="243" t="n"/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28" t="inlineStr">
        <is>
          <t>2022-09-30</t>
        </is>
      </c>
      <c r="Y24" s="236" t="inlineStr">
        <is>
          <t>CKT2210020002、XCD2209300002、XCD2209300003、XCD2209300004、XCD2209300005、XCD2209300006、XCD2209300007、XCD2209300008、XCD2209300009、XCD2209300010、XCD2209300011、XCD2209300016、XCD2209300017、XCD2209300018、XCD2209300020、XCD2209300023、XCD2209300035、XCD2209300043、XCD2209300046、XCD2209300047、XCD2209300048、XCD2209300109、XCD2210010003、XCD2210010004、XCD2210010005、XCD2210010095、XCD2210010096、XCD2210010097、XCD2210010098、XCD2210010099、XCD2210010100、XCD2210010101、XCD2210010102、XCD2210010103、XCD2210010104、XCD2210010105、XCD2210010106、XCD2210010107、XCD2210010108、XCD2210010109、XCD2210010110、XCD2210010111、XCD2210010112、XCD2210010113、XCD2210010114、XCD2210010115、XCD2210010116、XCD2210010117、XCD2210010118</t>
        </is>
      </c>
      <c r="Z24" s="234" t="n">
        <v>187560.419904</v>
      </c>
      <c r="AA24" s="234" t="n">
        <v>4182395.18</v>
      </c>
      <c r="AB24" s="243" t="n"/>
      <c r="AC24" s="243" t="n"/>
      <c r="AD24" s="243" t="n"/>
      <c r="AE24" s="243" t="n"/>
      <c r="AF24" s="243" t="n"/>
      <c r="AG24" s="243" t="n"/>
      <c r="AH24" s="243" t="n"/>
      <c r="AI24" s="243" t="n"/>
      <c r="AJ24" s="243" t="n"/>
      <c r="AK24" s="243" t="n"/>
      <c r="AL24" s="243" t="n"/>
      <c r="AM24" s="243" t="n"/>
      <c r="AN24" s="243" t="n"/>
      <c r="AO24" s="243" t="n"/>
      <c r="AP24" s="243" t="n"/>
      <c r="AQ24" s="243" t="n"/>
      <c r="AR24" s="243" t="n"/>
      <c r="AS24" s="243" t="n"/>
      <c r="AT24" s="243" t="n"/>
      <c r="AU24" s="243" t="n"/>
      <c r="AV24" s="243" t="n"/>
    </row>
    <row r="25" hidden="1" customFormat="1" s="203">
      <c r="A25" s="245" t="n"/>
      <c r="B25" s="245" t="n"/>
      <c r="C25" s="245" t="n"/>
      <c r="D25" s="245" t="n"/>
      <c r="E25" s="245" t="n"/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28" t="inlineStr">
        <is>
          <t>2022-10-31</t>
        </is>
      </c>
      <c r="Y25" s="236" t="inlineStr">
        <is>
          <t>CKT2211010001、CKT2211010002、CKT2211010014、XCD2211010005、XCD2211010008、XCD2211010033、XCD2211010034、XCD2211010035、XCD2211010036、XCD2211010037、XCD2211010038、XCD2211010041、XCD2211010125、XCD2211010126、XCD2211010127、XCD2211010128、XCD2211010129、XCD2211010130、XCD2211010131、XCD2211010132、XCD2211010133、XCD2211010134、XCD2211010135、XCD2211010136、XCD2211010137、XCD2211010138、XCD2211010139、XCD2211010140、XCD2211010141、XCD2211010142、XCD2211010143、XCD2211010144、XCD2211010145、XCD2211010146、XCD2211010147、XCD2211010148、XCD2211010149、XCD2211010150、XCD2211010155、XCD2211010157、XCD2211010158、XCD2211010159、XCD2211010164、XCD2211010165、XCD2211010166、XCD2211010167、XCD2211010170、XCD2211010172、XCD2211010174、XCD2211010175、XCD2211010176、XCD2211010177、XCD2211010178、XCD2211010179、XCD2211010180、XCD2211010181、XCD2211010182、XCD2211010183、XCD2211010184、XCD2211010185、XCD2211010186、XCD2211010187、XCD2211010188、XCD2211010189、XCD2211010292、XCD2211010293、XCD2211010294、XCD2211010295、XCD2211010296、XCD2211010297、XCD2211010298、XCD2211010299、XCD2211010300、XCD2211010301、XCD2211010302、XCD2211010303、XCD2211010304、XCD2211010305、XCD2211010306、XCD2211010307、XCD2211010308、XCD2211010309、XCD2211010310、XCD2211010311、XCD2211010312、XCD2211010313、XCD2211010314、XCD2211010315、XCD2211010316、XCD2211010317、XCD2211010318、XCD2211010319、XCD2211010320、XCD2211010321、XCD2211010322、XCD2211010323、XCD2211010324、XCD2211010325、XCD2211010326、XCD2211010327、XCD2211010328、XCD2211010329、XCD2211010330、XCD2211010331、XCD2211010332、XCD2211010333、XCD2211010334、XCD2211010335、XCD2211010336、XCD2211010337、XCD2211010338、XCD2211010339、XCD2211010340、XCD2211010341、XCD2211010342、XCD2211010343、XCD2211010344、XCD2211010345、XCD2211010346、XCD2211010347、XCD2211010348、XCD2211010349、XCD2211010350、XCD2211010351、XCD2211010352</t>
        </is>
      </c>
      <c r="Z25" s="234" t="n">
        <v>485996.63424</v>
      </c>
      <c r="AA25" s="234" t="n">
        <v>10658978.37</v>
      </c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</row>
    <row r="26" hidden="1" customFormat="1" s="203">
      <c r="A26" s="246" t="inlineStr">
        <is>
          <t>4</t>
        </is>
      </c>
      <c r="B26" s="246" t="inlineStr">
        <is>
          <t>4500071502</t>
        </is>
      </c>
      <c r="C26" s="246" t="inlineStr">
        <is>
          <t>2022-09-29</t>
        </is>
      </c>
      <c r="D26" s="248" t="inlineStr">
        <is>
          <t>正泰新能科技有限公司</t>
        </is>
      </c>
      <c r="E26" s="249" t="inlineStr">
        <is>
          <t>①正面镀膜钢化玻璃_182双玻2272*1128*2.0mm（76500PC）
②背面网格钢化玻璃2272*1128*2.0（中间开3个12mm孔）短边无釉层（76500PC）</t>
        </is>
      </c>
      <c r="F26" s="249" t="inlineStr">
        <is>
          <t>①2272*1128*2.0mm
②2272*1128*2.0</t>
        </is>
      </c>
      <c r="G26" s="250" t="n">
        <v>153000</v>
      </c>
      <c r="H26" s="253">
        <f>I26/G26</f>
        <v/>
      </c>
      <c r="I26" s="253" t="n">
        <v>7876003.95</v>
      </c>
      <c r="J26" s="246" t="inlineStr">
        <is>
          <t>2022-10-31</t>
        </is>
      </c>
      <c r="K26" s="246" t="inlineStr">
        <is>
          <t>待人工核对</t>
        </is>
      </c>
      <c r="L26" s="246" t="inlineStr">
        <is>
          <t>待人工核对</t>
        </is>
      </c>
      <c r="M26" s="246" t="inlineStr">
        <is>
          <t>待人工核对</t>
        </is>
      </c>
      <c r="N26" s="246" t="inlineStr">
        <is>
          <t>待人工核对</t>
        </is>
      </c>
      <c r="O26" s="246" t="inlineStr">
        <is>
          <t>待人工核对</t>
        </is>
      </c>
      <c r="P26" s="246" t="inlineStr">
        <is>
          <t>待人工核对</t>
        </is>
      </c>
      <c r="Q26" s="235" t="n"/>
      <c r="R26" s="235" t="n"/>
      <c r="S26" s="235" t="n"/>
      <c r="T26" s="235" t="n"/>
      <c r="U26" s="235" t="n"/>
      <c r="V26" s="235" t="n"/>
      <c r="W26" s="235" t="n"/>
      <c r="X26" s="246" t="inlineStr">
        <is>
          <t>2022-05-31</t>
        </is>
      </c>
      <c r="Y26" s="252" t="inlineStr">
        <is>
          <t>XCD2206010002、XCD2206010009</t>
        </is>
      </c>
      <c r="Z26" s="253" t="n">
        <v>410.05056</v>
      </c>
      <c r="AA26" s="253" t="n">
        <v>7653.79</v>
      </c>
      <c r="AB26" s="246" t="inlineStr">
        <is>
          <t>待人工核对</t>
        </is>
      </c>
      <c r="AC26" s="246" t="inlineStr">
        <is>
          <t>待人工核对</t>
        </is>
      </c>
      <c r="AD26" s="246" t="inlineStr">
        <is>
          <t>待人工核对</t>
        </is>
      </c>
      <c r="AE26" s="254" t="inlineStr">
        <is>
          <t>系统结论：需人工复核；合同为多货物采购订单(PO)，货物名称/规格/数量已按行项目分条列示；G列数量=各行项目合计，H列单价=金额/数量(含税加权均价)；合同数量计量单位为「PC」，出库台账计量单位为「平方米」，口径不同，已分列不混填；物流记录(出库)已按出库日期逐行展开：一个日期一行，编号列汇总该日期全部出库单号，数量/金额为该日期合计；出库数量/金额为该客户全期出库台账合计，与单一PO金额口径不同，是否对应本合同批次需人工确认；发票/记账凭证/明细账不在本次材料范围（相应列留空）；勾稽：合同金额(7876003.95) 与出库金额合计(20682891.81) 不一致（口径不同，需人工判断是否合理）；签订日期(2022-09-29)晚于出库日期(2022-05-31)</t>
        </is>
      </c>
      <c r="AF26" s="235" t="n"/>
      <c r="AG26" s="240" t="n"/>
      <c r="AH26" s="235" t="n"/>
      <c r="AI26" s="235" t="n"/>
      <c r="AJ26" s="235" t="n"/>
      <c r="AK26" s="235" t="n"/>
      <c r="AL26" s="235" t="n"/>
      <c r="AM26" s="238" t="n"/>
      <c r="AN26" s="242" t="n"/>
      <c r="AO26" s="242" t="n"/>
      <c r="AP26" s="242" t="n"/>
      <c r="AQ26" s="242" t="n"/>
      <c r="AR26" s="242" t="n"/>
      <c r="AS26" s="242" t="n"/>
      <c r="AT26" s="242" t="n"/>
      <c r="AU26" s="242" t="n"/>
      <c r="AV26" s="242" t="n"/>
    </row>
    <row r="27" hidden="1" customFormat="1" s="203">
      <c r="A27" s="243" t="n"/>
      <c r="B27" s="243" t="n"/>
      <c r="C27" s="243" t="n"/>
      <c r="D27" s="243" t="n"/>
      <c r="E27" s="243" t="n"/>
      <c r="F27" s="243" t="n"/>
      <c r="G27" s="243" t="n"/>
      <c r="H27" s="243" t="n"/>
      <c r="I27" s="243" t="n"/>
      <c r="J27" s="243" t="n"/>
      <c r="K27" s="243" t="n"/>
      <c r="L27" s="243" t="n"/>
      <c r="M27" s="243" t="n"/>
      <c r="N27" s="243" t="n"/>
      <c r="O27" s="243" t="n"/>
      <c r="P27" s="243" t="n"/>
      <c r="Q27" s="243" t="n"/>
      <c r="R27" s="243" t="n"/>
      <c r="S27" s="243" t="n"/>
      <c r="T27" s="243" t="n"/>
      <c r="U27" s="243" t="n"/>
      <c r="V27" s="243" t="n"/>
      <c r="W27" s="243" t="n"/>
      <c r="X27" s="228" t="inlineStr">
        <is>
          <t>2022-06-02</t>
        </is>
      </c>
      <c r="Y27" s="236" t="inlineStr">
        <is>
          <t>XCD2206020002、XCD2206020003</t>
        </is>
      </c>
      <c r="Z27" s="234" t="n">
        <v>410.05056</v>
      </c>
      <c r="AA27" s="234" t="n">
        <v>7653.79</v>
      </c>
      <c r="AB27" s="243" t="n"/>
      <c r="AC27" s="243" t="n"/>
      <c r="AD27" s="243" t="n"/>
      <c r="AE27" s="243" t="n"/>
      <c r="AF27" s="243" t="n"/>
      <c r="AG27" s="243" t="n"/>
      <c r="AH27" s="243" t="n"/>
      <c r="AI27" s="243" t="n"/>
      <c r="AJ27" s="243" t="n"/>
      <c r="AK27" s="243" t="n"/>
      <c r="AL27" s="243" t="n"/>
      <c r="AM27" s="243" t="n"/>
      <c r="AN27" s="243" t="n"/>
      <c r="AO27" s="243" t="n"/>
      <c r="AP27" s="243" t="n"/>
      <c r="AQ27" s="243" t="n"/>
      <c r="AR27" s="243" t="n"/>
      <c r="AS27" s="243" t="n"/>
      <c r="AT27" s="243" t="n"/>
      <c r="AU27" s="243" t="n"/>
      <c r="AV27" s="243" t="n"/>
    </row>
    <row r="28" hidden="1" customFormat="1" s="203">
      <c r="A28" s="243" t="n"/>
      <c r="B28" s="243" t="n"/>
      <c r="C28" s="243" t="n"/>
      <c r="D28" s="243" t="n"/>
      <c r="E28" s="243" t="n"/>
      <c r="F28" s="243" t="n"/>
      <c r="G28" s="243" t="n"/>
      <c r="H28" s="243" t="n"/>
      <c r="I28" s="243" t="n"/>
      <c r="J28" s="243" t="n"/>
      <c r="K28" s="243" t="n"/>
      <c r="L28" s="243" t="n"/>
      <c r="M28" s="243" t="n"/>
      <c r="N28" s="243" t="n"/>
      <c r="O28" s="243" t="n"/>
      <c r="P28" s="243" t="n"/>
      <c r="Q28" s="243" t="n"/>
      <c r="R28" s="243" t="n"/>
      <c r="S28" s="243" t="n"/>
      <c r="T28" s="243" t="n"/>
      <c r="U28" s="243" t="n"/>
      <c r="V28" s="243" t="n"/>
      <c r="W28" s="243" t="n"/>
      <c r="X28" s="228" t="inlineStr">
        <is>
          <t>2022-07-29</t>
        </is>
      </c>
      <c r="Y28" s="236" t="inlineStr">
        <is>
          <t>XCD2207290017、XCD2207290020</t>
        </is>
      </c>
      <c r="Z28" s="234" t="n">
        <v>282.4512</v>
      </c>
      <c r="AA28" s="234" t="n">
        <v>0</v>
      </c>
      <c r="AB28" s="243" t="n"/>
      <c r="AC28" s="243" t="n"/>
      <c r="AD28" s="243" t="n"/>
      <c r="AE28" s="243" t="n"/>
      <c r="AF28" s="243" t="n"/>
      <c r="AG28" s="243" t="n"/>
      <c r="AH28" s="243" t="n"/>
      <c r="AI28" s="243" t="n"/>
      <c r="AJ28" s="243" t="n"/>
      <c r="AK28" s="243" t="n"/>
      <c r="AL28" s="243" t="n"/>
      <c r="AM28" s="243" t="n"/>
      <c r="AN28" s="243" t="n"/>
      <c r="AO28" s="243" t="n"/>
      <c r="AP28" s="243" t="n"/>
      <c r="AQ28" s="243" t="n"/>
      <c r="AR28" s="243" t="n"/>
      <c r="AS28" s="243" t="n"/>
      <c r="AT28" s="243" t="n"/>
      <c r="AU28" s="243" t="n"/>
      <c r="AV28" s="243" t="n"/>
    </row>
    <row r="29" hidden="1" customFormat="1" s="203">
      <c r="A29" s="243" t="n"/>
      <c r="B29" s="243" t="n"/>
      <c r="C29" s="243" t="n"/>
      <c r="D29" s="243" t="n"/>
      <c r="E29" s="243" t="n"/>
      <c r="F29" s="243" t="n"/>
      <c r="G29" s="243" t="n"/>
      <c r="H29" s="243" t="n"/>
      <c r="I29" s="243" t="n"/>
      <c r="J29" s="243" t="n"/>
      <c r="K29" s="243" t="n"/>
      <c r="L29" s="243" t="n"/>
      <c r="M29" s="243" t="n"/>
      <c r="N29" s="243" t="n"/>
      <c r="O29" s="243" t="n"/>
      <c r="P29" s="243" t="n"/>
      <c r="Q29" s="243" t="n"/>
      <c r="R29" s="243" t="n"/>
      <c r="S29" s="243" t="n"/>
      <c r="T29" s="243" t="n"/>
      <c r="U29" s="243" t="n"/>
      <c r="V29" s="243" t="n"/>
      <c r="W29" s="243" t="n"/>
      <c r="X29" s="228" t="inlineStr">
        <is>
          <t>2022-09-30</t>
        </is>
      </c>
      <c r="Y29" s="236" t="inlineStr">
        <is>
          <t>CKT2210020003、CKT2210020004、XCD2209300026、XCD2209300034、XCD2209300072、XCD2209300073、XCD2209300074、XCD2209300075、XCD2209300076、XCD2209300077、XCD2209300078、XCD2209300079、XCD2209300080、XCD2209300081、XCD2209300082、XCD2209300094、XCD2209300097、XCD2209300101、XCD2209300102、XCD2209300103、XCD2209300104、XCD2209300105、XCD2209300106、XCD2209300107、XCD2210010001、XCD2210010002、XCD2210010071、XCD2210010072、XCD2210010073、XCD2210010074、XCD2210010075、XCD2210010076、XCD2210010077、XCD2210010078、XCD2210010079、XCD2210010080、XCD2210010081、XCD2210010082、XCD2210010083、XCD2210010084、XCD2210010085、XCD2210010086、XCD2210010087、XCD2210010088、XCD2210010089、XCD2210010090、XCD2210010091、XCD2210010092、XCD2210010093、XCD2210010094</t>
        </is>
      </c>
      <c r="Z29" s="234" t="n">
        <v>313688.6784</v>
      </c>
      <c r="AA29" s="234" t="n">
        <v>5408249.23</v>
      </c>
      <c r="AB29" s="243" t="n"/>
      <c r="AC29" s="243" t="n"/>
      <c r="AD29" s="243" t="n"/>
      <c r="AE29" s="243" t="n"/>
      <c r="AF29" s="243" t="n"/>
      <c r="AG29" s="243" t="n"/>
      <c r="AH29" s="243" t="n"/>
      <c r="AI29" s="243" t="n"/>
      <c r="AJ29" s="243" t="n"/>
      <c r="AK29" s="243" t="n"/>
      <c r="AL29" s="243" t="n"/>
      <c r="AM29" s="243" t="n"/>
      <c r="AN29" s="243" t="n"/>
      <c r="AO29" s="243" t="n"/>
      <c r="AP29" s="243" t="n"/>
      <c r="AQ29" s="243" t="n"/>
      <c r="AR29" s="243" t="n"/>
      <c r="AS29" s="243" t="n"/>
      <c r="AT29" s="243" t="n"/>
      <c r="AU29" s="243" t="n"/>
      <c r="AV29" s="243" t="n"/>
    </row>
    <row r="30" hidden="1" customFormat="1" s="203">
      <c r="A30" s="245" t="n"/>
      <c r="B30" s="245" t="n"/>
      <c r="C30" s="245" t="n"/>
      <c r="D30" s="245" t="n"/>
      <c r="E30" s="245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5" t="n"/>
      <c r="W30" s="245" t="n"/>
      <c r="X30" s="228" t="inlineStr">
        <is>
          <t>2022-10-31</t>
        </is>
      </c>
      <c r="Y30" s="236" t="inlineStr">
        <is>
          <t>CKT2211010003、CKT2211010004、CKT2211010005、CKT2211010006、CKT2211010007、CKT2211010008、CKT2211010009、CKT2211010010、CKT2211010011、CKT2211010012、CKT2211010018、XCD2211010039、XCD2211010040、XCD2211010042、XCD2211010043、XCD2211010044、XCD2211010046、XCD2211010047、XCD2211010048、XCD2211010049、XCD2211010050、XCD2211010051、XCD2211010077、XCD2211010079、XCD2211010080、XCD2211010081、XCD2211010082、XCD2211010083、XCD2211010084、XCD2211010085、XCD2211010086、XCD2211010087、XCD2211010088、XCD2211010089、XCD2211010090、XCD2211010091、XCD2211010093、XCD2211010094、XCD2211010095、XCD2211010096、XCD2211010097、XCD2211010098、XCD2211010099、XCD2211010100、XCD2211010101、XCD2211010102、XCD2211010103、XCD2211010104、XCD2211010105、XCD2211010106、XCD2211010107、XCD2211010108、XCD2211010109、XCD2211010110、XCD2211010111、XCD2211010112、XCD2211010113、XCD2211010114、XCD2211010115、XCD2211010116、XCD2211010117、XCD2211010119、XCD2211010121、XCD2211010190、XCD2211010191、XCD2211010192、XCD2211010193、XCD2211010194、XCD2211010195、XCD2211010203、XCD2211010204、XCD2211010205、XCD2211010206、XCD2211010207、XCD2211010208、XCD2211010214、XCD2211010218、XCD2211010223、XCD2211010224、XCD2211010225、XCD2211010226、XCD2211010227、XCD2211010228、XCD2211010229、XCD2211010232、XCD2211010353、XCD2211010354、XCD2211010355、XCD2211010356、XCD2211010357、XCD2211010358、XCD2211010359、XCD2211010360、XCD2211010361、XCD2211010362、XCD2211010363、XCD2211010364、XCD2211010365、XCD2211010366、XCD2211010367、XCD2211010368、XCD2211010369、XCD2211010370、XCD2211010371、XCD2211010372、XCD2211010373、XCD2211010374、XCD2211010375、XCD2211010376、XCD2211010377、XCD2211010378、XCD2211010379、XCD2211010380、XCD2211010381、XCD2211010382、XCD2211010383、XCD2211010384、XCD2211010385、XCD2211010386、XCD2211010387、XCD2211010388、XCD2211010389、XCD2211010390、XCD2211010391、XCD2211010392、XCD2211010393、XCD2211010394、XCD2211010395、XCD2211010396、XCD2211010397、XCD2211010398、XCD2211010399、XCD2211010400、XCD2211010401、XCD2211010402、XCD2211010403、XCD2211010404、XCD2211010405、XCD2211010406、XCD2211010407、XCD2211010408、XCD2211010409、XCD2211010410、XCD2211010411、XCD2211010412、XCD2211010413、XCD2211010414、XCD2211010415、XCD2211010416、XCD2211010417、XCD2211010418、XCD2211010419、XCD2211010420、XCD2211010421、XCD2211010422、XCD2211010423、XCD2211010424、XCD2211010425、XCD2211010426</t>
        </is>
      </c>
      <c r="Z30" s="234" t="n">
        <v>854186.5728</v>
      </c>
      <c r="AA30" s="234" t="n">
        <v>15259335</v>
      </c>
      <c r="AB30" s="245" t="n"/>
      <c r="AC30" s="245" t="n"/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</row>
    <row r="31" hidden="1" customFormat="1" s="203">
      <c r="A31" s="42" t="n"/>
      <c r="B31" s="42" t="n"/>
      <c r="C31" s="42" t="n"/>
      <c r="D31" s="64" t="n"/>
      <c r="E31" s="42" t="n"/>
      <c r="F31" s="42" t="n"/>
      <c r="G31" s="42" t="n"/>
      <c r="H31" s="157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147" t="n"/>
      <c r="AF31" s="42" t="n"/>
      <c r="AG31" s="42" t="n"/>
      <c r="AH31" s="42" t="n"/>
      <c r="AI31" s="42" t="n"/>
      <c r="AJ31" s="42" t="n"/>
      <c r="AK31" s="42" t="n"/>
      <c r="AL31" s="42" t="n"/>
      <c r="AM31" s="148" t="n"/>
    </row>
    <row r="32" hidden="1" customFormat="1" s="203">
      <c r="A32" s="42" t="n"/>
      <c r="B32" s="42" t="n"/>
      <c r="C32" s="42" t="n"/>
      <c r="D32" s="64" t="n"/>
      <c r="E32" s="42" t="n"/>
      <c r="F32" s="42" t="n"/>
      <c r="G32" s="42" t="n"/>
      <c r="H32" s="157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  <c r="AD32" s="42" t="n"/>
      <c r="AE32" s="147" t="n"/>
      <c r="AF32" s="42" t="n"/>
      <c r="AG32" s="42" t="n"/>
      <c r="AH32" s="42" t="n"/>
      <c r="AI32" s="42" t="n"/>
      <c r="AJ32" s="42" t="n"/>
      <c r="AK32" s="42" t="n"/>
      <c r="AL32" s="42" t="n"/>
      <c r="AM32" s="148" t="n"/>
    </row>
    <row r="33" hidden="1" customFormat="1" s="203">
      <c r="A33" s="42" t="n"/>
      <c r="B33" s="42" t="n"/>
      <c r="C33" s="42" t="n"/>
      <c r="D33" s="64" t="n"/>
      <c r="E33" s="42" t="n"/>
      <c r="F33" s="42" t="n"/>
      <c r="G33" s="42" t="n"/>
      <c r="H33" s="157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147" t="n"/>
      <c r="AF33" s="42" t="n"/>
      <c r="AG33" s="42" t="n"/>
      <c r="AH33" s="42" t="n"/>
      <c r="AI33" s="42" t="n"/>
      <c r="AJ33" s="42" t="n"/>
      <c r="AK33" s="42" t="n"/>
      <c r="AL33" s="42" t="n"/>
      <c r="AM33" s="148" t="n"/>
    </row>
    <row r="34" hidden="1" customFormat="1" s="203">
      <c r="A34" s="42" t="n"/>
      <c r="B34" s="42" t="n"/>
      <c r="C34" s="42" t="n"/>
      <c r="D34" s="64" t="n"/>
      <c r="E34" s="42" t="n"/>
      <c r="F34" s="42" t="n"/>
      <c r="G34" s="42" t="n"/>
      <c r="H34" s="157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  <c r="AD34" s="42" t="n"/>
      <c r="AE34" s="147" t="n"/>
      <c r="AF34" s="42" t="n"/>
      <c r="AG34" s="42" t="n"/>
      <c r="AH34" s="42" t="n"/>
      <c r="AI34" s="42" t="n"/>
      <c r="AJ34" s="42" t="n"/>
      <c r="AK34" s="42" t="n"/>
      <c r="AL34" s="42" t="n"/>
      <c r="AM34" s="148" t="n"/>
    </row>
    <row r="35" hidden="1" customFormat="1" s="203">
      <c r="A35" s="42" t="n"/>
      <c r="B35" s="42" t="n"/>
      <c r="C35" s="42" t="n"/>
      <c r="D35" s="64" t="n"/>
      <c r="E35" s="42" t="n"/>
      <c r="F35" s="42" t="n"/>
      <c r="G35" s="42" t="n"/>
      <c r="H35" s="157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147" t="n"/>
      <c r="AF35" s="42" t="n"/>
      <c r="AG35" s="42" t="n"/>
      <c r="AH35" s="42" t="n"/>
      <c r="AI35" s="42" t="n"/>
      <c r="AJ35" s="42" t="n"/>
      <c r="AK35" s="42" t="n"/>
      <c r="AL35" s="42" t="n"/>
      <c r="AM35" s="148" t="n"/>
    </row>
    <row r="36" hidden="1" customFormat="1" s="203">
      <c r="A36" s="42" t="n"/>
      <c r="B36" s="42" t="n"/>
      <c r="C36" s="42" t="n"/>
      <c r="D36" s="64" t="n"/>
      <c r="E36" s="42" t="n"/>
      <c r="F36" s="42" t="n"/>
      <c r="G36" s="42" t="n"/>
      <c r="H36" s="157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  <c r="AE36" s="147" t="n"/>
      <c r="AF36" s="42" t="n"/>
      <c r="AG36" s="42" t="n"/>
      <c r="AH36" s="42" t="n"/>
      <c r="AI36" s="42" t="n"/>
      <c r="AJ36" s="42" t="n"/>
      <c r="AK36" s="42" t="n"/>
      <c r="AL36" s="42" t="n"/>
      <c r="AM36" s="148" t="n"/>
    </row>
    <row r="37" hidden="1" customFormat="1" s="203">
      <c r="A37" s="42" t="n"/>
      <c r="B37" s="42" t="n"/>
      <c r="C37" s="42" t="n"/>
      <c r="D37" s="64" t="n"/>
      <c r="E37" s="42" t="n"/>
      <c r="F37" s="42" t="n"/>
      <c r="G37" s="42" t="n"/>
      <c r="H37" s="157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147" t="n"/>
      <c r="AF37" s="42" t="n"/>
      <c r="AG37" s="42" t="n"/>
      <c r="AH37" s="42" t="n"/>
      <c r="AI37" s="42" t="n"/>
      <c r="AJ37" s="42" t="n"/>
      <c r="AK37" s="42" t="n"/>
      <c r="AL37" s="42" t="n"/>
      <c r="AM37" s="148" t="n"/>
    </row>
    <row r="38" hidden="1" customFormat="1" s="203">
      <c r="A38" s="42" t="n"/>
      <c r="B38" s="42" t="n"/>
      <c r="C38" s="42" t="n"/>
      <c r="D38" s="64" t="n"/>
      <c r="E38" s="42" t="n"/>
      <c r="F38" s="42" t="n"/>
      <c r="G38" s="42" t="n"/>
      <c r="H38" s="157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147" t="n"/>
      <c r="AF38" s="42" t="n"/>
      <c r="AG38" s="42" t="n"/>
      <c r="AH38" s="42" t="n"/>
      <c r="AI38" s="42" t="n"/>
      <c r="AJ38" s="42" t="n"/>
      <c r="AK38" s="42" t="n"/>
      <c r="AL38" s="42" t="n"/>
      <c r="AM38" s="148" t="n"/>
    </row>
    <row r="39" hidden="1" customFormat="1" s="203">
      <c r="A39" s="42" t="n"/>
      <c r="B39" s="42" t="n"/>
      <c r="C39" s="42" t="n"/>
      <c r="D39" s="64" t="n"/>
      <c r="E39" s="42" t="n"/>
      <c r="F39" s="42" t="n"/>
      <c r="G39" s="42" t="n"/>
      <c r="H39" s="157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  <c r="AE39" s="147" t="n"/>
      <c r="AF39" s="42" t="n"/>
      <c r="AG39" s="42" t="n"/>
      <c r="AH39" s="42" t="n"/>
      <c r="AI39" s="42" t="n"/>
      <c r="AJ39" s="42" t="n"/>
      <c r="AK39" s="42" t="n"/>
      <c r="AL39" s="42" t="n"/>
      <c r="AM39" s="148" t="n"/>
    </row>
    <row r="40" hidden="1" customFormat="1" s="203">
      <c r="A40" s="42" t="n"/>
      <c r="B40" s="42" t="n"/>
      <c r="C40" s="42" t="n"/>
      <c r="D40" s="64" t="n"/>
      <c r="E40" s="42" t="n"/>
      <c r="F40" s="42" t="n"/>
      <c r="G40" s="42" t="n"/>
      <c r="H40" s="157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  <c r="AE40" s="147" t="n"/>
      <c r="AF40" s="42" t="n"/>
      <c r="AG40" s="42" t="n"/>
      <c r="AH40" s="42" t="n"/>
      <c r="AI40" s="42" t="n"/>
      <c r="AJ40" s="42" t="n"/>
      <c r="AK40" s="42" t="n"/>
      <c r="AL40" s="42" t="n"/>
      <c r="AM40" s="148" t="n"/>
    </row>
    <row r="41" hidden="1" customFormat="1" s="203">
      <c r="A41" s="42" t="n"/>
      <c r="B41" s="42" t="n"/>
      <c r="C41" s="42" t="n"/>
      <c r="D41" s="64" t="n"/>
      <c r="E41" s="42" t="n"/>
      <c r="F41" s="42" t="n"/>
      <c r="G41" s="42" t="n"/>
      <c r="H41" s="157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147" t="n"/>
      <c r="AF41" s="42" t="n"/>
      <c r="AG41" s="42" t="n"/>
      <c r="AH41" s="42" t="n"/>
      <c r="AI41" s="42" t="n"/>
      <c r="AJ41" s="42" t="n"/>
      <c r="AK41" s="42" t="n"/>
      <c r="AL41" s="42" t="n"/>
      <c r="AM41" s="148" t="n"/>
    </row>
    <row r="42" hidden="1" customFormat="1" s="203">
      <c r="A42" s="42" t="n"/>
      <c r="B42" s="42" t="n"/>
      <c r="C42" s="42" t="n"/>
      <c r="D42" s="64" t="n"/>
      <c r="E42" s="42" t="n"/>
      <c r="F42" s="42" t="n"/>
      <c r="G42" s="42" t="n"/>
      <c r="H42" s="157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147" t="n"/>
      <c r="AF42" s="42" t="n"/>
      <c r="AG42" s="42" t="n"/>
      <c r="AH42" s="42" t="n"/>
      <c r="AI42" s="42" t="n"/>
      <c r="AJ42" s="42" t="n"/>
      <c r="AK42" s="42" t="n"/>
      <c r="AL42" s="42" t="n"/>
      <c r="AM42" s="148" t="n"/>
    </row>
    <row r="43" hidden="1" customFormat="1" s="203">
      <c r="A43" s="42" t="n"/>
      <c r="B43" s="42" t="n"/>
      <c r="C43" s="42" t="n"/>
      <c r="D43" s="64" t="n"/>
      <c r="E43" s="42" t="n"/>
      <c r="F43" s="42" t="n"/>
      <c r="G43" s="42" t="n"/>
      <c r="H43" s="157">
        <f>I43/G43</f>
        <v/>
      </c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147" t="n"/>
      <c r="AF43" s="42" t="n"/>
      <c r="AG43" s="42" t="n"/>
      <c r="AH43" s="42" t="n"/>
      <c r="AI43" s="42" t="n"/>
      <c r="AJ43" s="42" t="n"/>
      <c r="AK43" s="42" t="n"/>
      <c r="AL43" s="42" t="n"/>
      <c r="AM43" s="148" t="n"/>
    </row>
    <row r="44" hidden="1" customFormat="1" s="203">
      <c r="A44" s="42" t="n"/>
      <c r="B44" s="181" t="n"/>
      <c r="C44" s="181" t="n"/>
      <c r="D44" s="182" t="n"/>
      <c r="E44" s="49" t="n"/>
      <c r="F44" s="49" t="n"/>
      <c r="G44" s="49" t="n"/>
      <c r="H44" s="157">
        <f>I44/G44</f>
        <v/>
      </c>
      <c r="I44" s="183" t="n"/>
      <c r="J44" s="183" t="n"/>
      <c r="K44" s="42" t="n"/>
      <c r="L44" s="42" t="n"/>
      <c r="M44" s="42" t="n"/>
      <c r="N44" s="42" t="n"/>
      <c r="O44" s="42" t="n"/>
      <c r="P44" s="42" t="n"/>
      <c r="Q44" s="181" t="n"/>
      <c r="R44" s="181" t="n"/>
      <c r="S44" s="49" t="n"/>
      <c r="T44" s="181" t="n"/>
      <c r="U44" s="42" t="n"/>
      <c r="V44" s="42" t="n"/>
      <c r="W44" s="42" t="n"/>
      <c r="X44" s="181" t="n"/>
      <c r="Y44" s="181" t="n"/>
      <c r="Z44" s="49" t="n"/>
      <c r="AA44" s="181" t="n"/>
      <c r="AB44" s="42" t="n"/>
      <c r="AC44" s="42" t="n"/>
      <c r="AD44" s="42" t="n"/>
      <c r="AE44" s="147" t="n"/>
      <c r="AF44" s="49" t="n"/>
      <c r="AG44" s="181" t="n"/>
      <c r="AH44" s="181" t="n"/>
      <c r="AI44" s="42" t="n"/>
      <c r="AJ44" s="42" t="n"/>
      <c r="AK44" s="42" t="n"/>
      <c r="AL44" s="42" t="n"/>
      <c r="AM44" s="49" t="n"/>
    </row>
    <row r="45" hidden="1" customFormat="1" s="203">
      <c r="A45" s="42" t="n"/>
      <c r="B45" s="181" t="n"/>
      <c r="C45" s="181" t="n"/>
      <c r="D45" s="182" t="n"/>
      <c r="E45" s="49" t="n"/>
      <c r="F45" s="49" t="n"/>
      <c r="G45" s="49" t="n"/>
      <c r="H45" s="157">
        <f>I45/G45</f>
        <v/>
      </c>
      <c r="I45" s="183" t="n"/>
      <c r="J45" s="183" t="n"/>
      <c r="K45" s="42" t="n"/>
      <c r="L45" s="42" t="n"/>
      <c r="M45" s="42" t="n"/>
      <c r="N45" s="42" t="n"/>
      <c r="O45" s="42" t="n"/>
      <c r="P45" s="42" t="n"/>
      <c r="Q45" s="181" t="n"/>
      <c r="R45" s="181" t="n"/>
      <c r="S45" s="49" t="n"/>
      <c r="T45" s="181" t="n"/>
      <c r="U45" s="42" t="n"/>
      <c r="V45" s="42" t="n"/>
      <c r="W45" s="42" t="n"/>
      <c r="X45" s="181" t="n"/>
      <c r="Y45" s="181" t="n"/>
      <c r="Z45" s="49" t="n"/>
      <c r="AA45" s="181" t="n"/>
      <c r="AB45" s="42" t="n"/>
      <c r="AC45" s="42" t="n"/>
      <c r="AD45" s="42" t="n"/>
      <c r="AE45" s="147" t="n"/>
      <c r="AF45" s="49" t="n"/>
      <c r="AG45" s="181" t="n"/>
      <c r="AH45" s="181" t="n"/>
      <c r="AI45" s="42" t="n"/>
      <c r="AJ45" s="42" t="n"/>
      <c r="AK45" s="42" t="n"/>
      <c r="AL45" s="42" t="n"/>
      <c r="AM45" s="49" t="n"/>
    </row>
    <row r="46" hidden="1" customFormat="1" s="203">
      <c r="A46" s="42" t="n"/>
      <c r="B46" s="181" t="n"/>
      <c r="C46" s="181" t="n"/>
      <c r="D46" s="182" t="n"/>
      <c r="E46" s="49" t="n"/>
      <c r="F46" s="49" t="n"/>
      <c r="G46" s="49" t="n"/>
      <c r="H46" s="157">
        <f>I46/G46</f>
        <v/>
      </c>
      <c r="I46" s="183" t="n"/>
      <c r="J46" s="183" t="n"/>
      <c r="K46" s="42" t="n"/>
      <c r="L46" s="42" t="n"/>
      <c r="M46" s="42" t="n"/>
      <c r="N46" s="42" t="n"/>
      <c r="O46" s="42" t="n"/>
      <c r="P46" s="42" t="n"/>
      <c r="Q46" s="181" t="n"/>
      <c r="R46" s="181" t="n"/>
      <c r="S46" s="49" t="n"/>
      <c r="T46" s="181" t="n"/>
      <c r="U46" s="42" t="n"/>
      <c r="V46" s="42" t="n"/>
      <c r="W46" s="42" t="n"/>
      <c r="X46" s="181" t="n"/>
      <c r="Y46" s="181" t="n"/>
      <c r="Z46" s="49" t="n"/>
      <c r="AA46" s="181" t="n"/>
      <c r="AB46" s="42" t="n"/>
      <c r="AC46" s="42" t="n"/>
      <c r="AD46" s="42" t="n"/>
      <c r="AE46" s="147" t="n"/>
      <c r="AF46" s="49" t="n"/>
      <c r="AG46" s="181" t="n"/>
      <c r="AH46" s="181" t="n"/>
      <c r="AI46" s="42" t="n"/>
      <c r="AJ46" s="42" t="n"/>
      <c r="AK46" s="42" t="n"/>
      <c r="AL46" s="42" t="n"/>
      <c r="AM46" s="184" t="n"/>
      <c r="AN46" s="185" t="n"/>
      <c r="AO46" s="203" t="n"/>
      <c r="AP46" s="203" t="n"/>
      <c r="AQ46" s="203" t="n"/>
      <c r="AR46" s="203" t="n"/>
      <c r="AS46" s="203" t="n"/>
      <c r="AT46" s="203" t="n"/>
      <c r="AU46" s="203" t="n"/>
    </row>
    <row r="47" customFormat="1" s="203">
      <c r="A47" s="42" t="n"/>
      <c r="B47" s="181" t="n"/>
      <c r="C47" s="181" t="n"/>
      <c r="D47" s="182" t="n"/>
      <c r="E47" s="49" t="n"/>
      <c r="F47" s="49" t="n"/>
      <c r="G47" s="49" t="n"/>
      <c r="H47" s="157">
        <f>I47/G47</f>
        <v/>
      </c>
      <c r="I47" s="183" t="n"/>
      <c r="J47" s="183" t="n"/>
      <c r="K47" s="42" t="n"/>
      <c r="L47" s="42" t="n"/>
      <c r="M47" s="42" t="n"/>
      <c r="N47" s="42" t="n"/>
      <c r="O47" s="42" t="n"/>
      <c r="P47" s="42" t="n"/>
      <c r="Q47" s="181" t="n"/>
      <c r="R47" s="181" t="n"/>
      <c r="S47" s="49" t="n"/>
      <c r="T47" s="181" t="n"/>
      <c r="U47" s="42" t="n"/>
      <c r="V47" s="42" t="n"/>
      <c r="W47" s="42" t="n"/>
      <c r="X47" s="181" t="n"/>
      <c r="Y47" s="181" t="n"/>
      <c r="Z47" s="49" t="n"/>
      <c r="AA47" s="181" t="n"/>
      <c r="AB47" s="42" t="n"/>
      <c r="AC47" s="42" t="n"/>
      <c r="AD47" s="42" t="n"/>
      <c r="AE47" s="147" t="n"/>
      <c r="AF47" s="49" t="n"/>
      <c r="AG47" s="181" t="n"/>
      <c r="AH47" s="181" t="n"/>
      <c r="AI47" s="42" t="n"/>
      <c r="AJ47" s="42" t="n"/>
      <c r="AK47" s="42" t="n"/>
      <c r="AL47" s="42" t="n"/>
      <c r="AM47" s="184" t="n"/>
      <c r="AN47" s="185" t="n"/>
      <c r="AO47" s="203" t="n"/>
      <c r="AP47" s="203" t="n"/>
      <c r="AQ47" s="203" t="n"/>
      <c r="AR47" s="203" t="n"/>
      <c r="AS47" s="203" t="n"/>
      <c r="AT47" s="203" t="n"/>
      <c r="AU47" s="203" t="n"/>
    </row>
    <row r="48" customFormat="1" s="203">
      <c r="A48" s="220" t="n"/>
      <c r="B48" s="187" t="n"/>
      <c r="C48" s="187" t="n"/>
      <c r="D48" s="220" t="n"/>
      <c r="E48" s="188" t="n"/>
      <c r="F48" s="188" t="n"/>
      <c r="G48" s="188" t="n"/>
      <c r="H48" s="189" t="n"/>
      <c r="I48" s="255" t="n"/>
      <c r="J48" s="220" t="n"/>
      <c r="K48" s="220" t="n"/>
      <c r="L48" s="220" t="n"/>
      <c r="M48" s="220" t="n"/>
      <c r="N48" s="220" t="n"/>
      <c r="O48" s="220" t="n"/>
      <c r="P48" s="220" t="n"/>
      <c r="Q48" s="187" t="n"/>
      <c r="R48" s="187" t="n"/>
      <c r="S48" s="188" t="n"/>
      <c r="T48" s="191" t="n"/>
      <c r="U48" s="220" t="n"/>
      <c r="V48" s="220" t="n"/>
      <c r="W48" s="220" t="n"/>
      <c r="X48" s="187" t="n"/>
      <c r="Y48" s="187" t="n"/>
      <c r="Z48" s="188" t="n"/>
      <c r="AA48" s="191" t="n"/>
      <c r="AB48" s="220" t="n"/>
      <c r="AC48" s="220" t="n"/>
      <c r="AD48" s="220" t="n"/>
      <c r="AE48" s="256" t="n"/>
      <c r="AF48" s="188" t="n"/>
      <c r="AG48" s="187" t="n"/>
      <c r="AH48" s="255" t="n"/>
      <c r="AI48" s="220" t="n"/>
      <c r="AJ48" s="220" t="n"/>
      <c r="AK48" s="220" t="n"/>
      <c r="AL48" s="220" t="n"/>
      <c r="AM48" s="192" t="n"/>
      <c r="AN48" s="185" t="n"/>
      <c r="AO48" s="203" t="n"/>
      <c r="AP48" s="203" t="n"/>
      <c r="AQ48" s="203" t="n"/>
      <c r="AR48" s="203" t="n"/>
      <c r="AS48" s="203" t="n"/>
      <c r="AT48" s="203" t="n"/>
      <c r="AU48" s="203" t="n"/>
    </row>
    <row r="49" customFormat="1" s="203">
      <c r="A49" s="193" t="n"/>
      <c r="B49" s="194" t="n"/>
      <c r="C49" s="194" t="n"/>
      <c r="D49" s="194" t="n"/>
      <c r="E49" s="194" t="n"/>
      <c r="F49" s="194" t="n"/>
      <c r="G49" s="194" t="n"/>
      <c r="H49" s="193" t="n"/>
      <c r="I49" s="194" t="n"/>
      <c r="J49" s="194" t="n"/>
      <c r="K49" s="195" t="n"/>
      <c r="L49" s="195" t="n"/>
      <c r="M49" s="195" t="n"/>
      <c r="N49" s="194" t="n"/>
      <c r="O49" s="194" t="n"/>
      <c r="P49" s="194" t="n"/>
      <c r="Q49" s="194" t="n"/>
      <c r="R49" s="194" t="n"/>
      <c r="S49" s="194" t="n"/>
      <c r="T49" s="195" t="n"/>
      <c r="U49" s="195" t="n"/>
      <c r="V49" s="194" t="n"/>
      <c r="W49" s="194" t="n"/>
      <c r="X49" s="194" t="n"/>
      <c r="Y49" s="194" t="n"/>
      <c r="Z49" s="194" t="n"/>
      <c r="AA49" s="194" t="n"/>
      <c r="AB49" s="194" t="n"/>
      <c r="AC49" s="194" t="n"/>
      <c r="AD49" s="194" t="n"/>
      <c r="AE49" s="114" t="n"/>
      <c r="AF49" s="194" t="n"/>
      <c r="AG49" s="194" t="n"/>
      <c r="AH49" s="194" t="n"/>
      <c r="AI49" s="194" t="n"/>
      <c r="AJ49" s="194" t="n"/>
      <c r="AK49" s="194" t="n"/>
      <c r="AL49" s="194" t="n"/>
      <c r="AM49" s="196" t="n"/>
      <c r="AN49" s="197" t="n"/>
      <c r="AO49" s="198" t="n"/>
      <c r="AP49" s="198" t="n"/>
      <c r="AQ49" s="198" t="n"/>
      <c r="AR49" s="198" t="n"/>
      <c r="AS49" s="198" t="n"/>
      <c r="AT49" s="198" t="n"/>
      <c r="AU49" s="203" t="n"/>
    </row>
    <row r="50" customFormat="1" s="203">
      <c r="A50" s="199" t="n"/>
      <c r="B50" s="114" t="n"/>
      <c r="C50" s="114" t="n"/>
      <c r="D50" s="114" t="n"/>
      <c r="E50" s="114" t="n"/>
      <c r="F50" s="114" t="n"/>
      <c r="G50" s="114" t="n"/>
      <c r="H50" s="199" t="n"/>
      <c r="I50" s="200" t="n"/>
      <c r="J50" s="200" t="n"/>
      <c r="K50" s="214" t="n"/>
      <c r="L50" s="214" t="n"/>
      <c r="M50" s="214" t="n"/>
      <c r="N50" s="200" t="n"/>
      <c r="O50" s="200" t="n"/>
      <c r="P50" s="200" t="n"/>
      <c r="Q50" s="200" t="n"/>
      <c r="R50" s="200" t="n"/>
      <c r="S50" s="200" t="n"/>
      <c r="T50" s="200" t="n"/>
      <c r="U50" s="200" t="n"/>
      <c r="V50" s="200" t="n"/>
      <c r="W50" s="200" t="n"/>
      <c r="X50" s="200" t="n"/>
      <c r="Y50" s="200" t="n"/>
      <c r="Z50" s="200" t="n"/>
      <c r="AA50" s="200" t="n"/>
      <c r="AB50" s="114" t="n"/>
      <c r="AC50" s="114" t="n"/>
      <c r="AD50" s="114" t="n"/>
      <c r="AE50" s="114" t="n"/>
      <c r="AF50" s="114" t="n"/>
      <c r="AG50" s="114" t="n"/>
      <c r="AH50" s="114" t="n"/>
      <c r="AI50" s="114" t="n"/>
      <c r="AJ50" s="114" t="n"/>
      <c r="AK50" s="114" t="n"/>
      <c r="AL50" s="114" t="n"/>
      <c r="AM50" s="198" t="n"/>
      <c r="AN50" s="197" t="n"/>
      <c r="AO50" s="198" t="n"/>
      <c r="AP50" s="198" t="n"/>
      <c r="AQ50" s="198" t="n"/>
      <c r="AR50" s="198" t="n"/>
      <c r="AS50" s="198" t="n"/>
      <c r="AT50" s="198" t="n"/>
      <c r="AU50" s="203" t="n"/>
    </row>
    <row r="51" customFormat="1" s="203">
      <c r="A51" s="199" t="n"/>
      <c r="B51" s="114" t="n"/>
      <c r="C51" s="114" t="n"/>
      <c r="D51" s="114" t="n"/>
      <c r="E51" s="114" t="n"/>
      <c r="F51" s="114" t="n"/>
      <c r="G51" s="114" t="n"/>
      <c r="H51" s="199" t="n"/>
      <c r="I51" s="202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203" t="n"/>
      <c r="AF51" s="114" t="n"/>
      <c r="AG51" s="257" t="n"/>
      <c r="AH51" s="114" t="n"/>
      <c r="AI51" s="114" t="n"/>
      <c r="AJ51" s="114" t="n"/>
      <c r="AK51" s="114" t="n"/>
      <c r="AL51" s="114" t="n"/>
      <c r="AM51" s="114" t="n"/>
      <c r="AN51" s="205" t="n"/>
      <c r="AO51" s="217" t="n"/>
      <c r="AP51" s="217" t="n"/>
      <c r="AQ51" s="217" t="n"/>
      <c r="AR51" s="217" t="n"/>
      <c r="AS51" s="217" t="n"/>
      <c r="AT51" s="217" t="n"/>
      <c r="AU51" s="203" t="n"/>
    </row>
    <row r="52" customFormat="1" s="203">
      <c r="A52" s="207" t="n"/>
      <c r="B52" s="114" t="n"/>
      <c r="C52" s="114" t="n"/>
      <c r="D52" s="114" t="n"/>
      <c r="E52" s="114" t="n"/>
      <c r="F52" s="114" t="n"/>
      <c r="G52" s="114" t="n"/>
      <c r="H52" s="199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  <c r="AB52" s="114" t="n"/>
      <c r="AC52" s="114" t="n"/>
      <c r="AD52" s="114" t="n"/>
      <c r="AE52" s="203" t="n"/>
      <c r="AF52" s="114" t="n"/>
      <c r="AG52" s="114" t="n"/>
      <c r="AH52" s="114" t="n"/>
      <c r="AI52" s="114" t="n"/>
      <c r="AJ52" s="114" t="n"/>
      <c r="AK52" s="114" t="n"/>
      <c r="AL52" s="114" t="n"/>
      <c r="AM52" s="114" t="n"/>
      <c r="AN52" s="205" t="n"/>
      <c r="AO52" s="217" t="n"/>
      <c r="AP52" s="217" t="n"/>
      <c r="AQ52" s="217" t="n"/>
      <c r="AR52" s="217" t="n"/>
      <c r="AS52" s="217" t="n"/>
      <c r="AT52" s="217" t="n"/>
      <c r="AU52" s="203" t="n"/>
    </row>
    <row r="53" customFormat="1" s="203">
      <c r="A53" s="207" t="n"/>
      <c r="B53" s="114" t="n"/>
      <c r="C53" s="114" t="n"/>
      <c r="D53" s="114" t="n"/>
      <c r="E53" s="114" t="n"/>
      <c r="F53" s="114" t="n"/>
      <c r="G53" s="114" t="n"/>
      <c r="H53" s="199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  <c r="AB53" s="114" t="n"/>
      <c r="AC53" s="114" t="n"/>
      <c r="AD53" s="114" t="n"/>
      <c r="AE53" s="203" t="n"/>
      <c r="AF53" s="114" t="n"/>
      <c r="AG53" s="114" t="n"/>
      <c r="AH53" s="114" t="n"/>
      <c r="AI53" s="114" t="n"/>
      <c r="AJ53" s="114" t="n"/>
      <c r="AK53" s="114" t="n"/>
      <c r="AL53" s="114" t="n"/>
      <c r="AM53" s="114" t="n"/>
      <c r="AN53" s="205" t="n"/>
      <c r="AO53" s="217" t="n"/>
      <c r="AP53" s="217" t="n"/>
      <c r="AQ53" s="217" t="n"/>
      <c r="AR53" s="217" t="n"/>
      <c r="AS53" s="217" t="n"/>
      <c r="AT53" s="217" t="n"/>
      <c r="AU53" s="203" t="n"/>
    </row>
    <row r="54" customFormat="1" s="203">
      <c r="A54" s="207" t="n"/>
      <c r="B54" s="114" t="n"/>
      <c r="C54" s="114" t="n"/>
      <c r="D54" s="114" t="n"/>
      <c r="E54" s="114" t="n"/>
      <c r="F54" s="114" t="n"/>
      <c r="G54" s="114" t="n"/>
      <c r="H54" s="199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  <c r="AB54" s="114" t="n"/>
      <c r="AC54" s="114" t="n"/>
      <c r="AD54" s="114" t="n"/>
      <c r="AE54" s="203" t="n"/>
      <c r="AF54" s="114" t="n"/>
      <c r="AG54" s="114" t="n"/>
      <c r="AH54" s="114" t="n"/>
      <c r="AI54" s="114" t="n"/>
      <c r="AJ54" s="114" t="n"/>
      <c r="AK54" s="114" t="n"/>
      <c r="AL54" s="114" t="n"/>
      <c r="AM54" s="114" t="n"/>
      <c r="AN54" s="205" t="n"/>
      <c r="AO54" s="217" t="n"/>
      <c r="AP54" s="217" t="n"/>
      <c r="AQ54" s="217" t="n"/>
      <c r="AR54" s="217" t="n"/>
      <c r="AS54" s="217" t="n"/>
      <c r="AT54" s="217" t="n"/>
      <c r="AU54" s="203" t="n"/>
    </row>
    <row r="55" customFormat="1" s="203">
      <c r="A55" s="207" t="n"/>
      <c r="B55" s="114" t="n"/>
      <c r="C55" s="114" t="n"/>
      <c r="D55" s="114" t="n"/>
      <c r="E55" s="114" t="n"/>
      <c r="F55" s="114" t="n"/>
      <c r="G55" s="114" t="n"/>
      <c r="H55" s="199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4" t="n"/>
      <c r="AD55" s="114" t="n"/>
      <c r="AE55" s="203" t="n"/>
      <c r="AF55" s="114" t="n"/>
      <c r="AG55" s="114" t="n"/>
      <c r="AH55" s="114" t="n"/>
      <c r="AI55" s="114" t="n"/>
      <c r="AJ55" s="114" t="n"/>
      <c r="AK55" s="114" t="n"/>
      <c r="AL55" s="114" t="n"/>
      <c r="AM55" s="114" t="n"/>
      <c r="AN55" s="205" t="n"/>
      <c r="AO55" s="217" t="n"/>
      <c r="AP55" s="217" t="n"/>
      <c r="AQ55" s="217" t="n"/>
      <c r="AR55" s="217" t="n"/>
      <c r="AS55" s="217" t="n"/>
      <c r="AT55" s="217" t="n"/>
      <c r="AU55" s="203" t="n"/>
    </row>
    <row r="56" customFormat="1" s="203">
      <c r="A56" s="199" t="n"/>
      <c r="B56" s="114" t="n"/>
      <c r="C56" s="114" t="n"/>
      <c r="D56" s="114" t="n"/>
      <c r="E56" s="114" t="n"/>
      <c r="F56" s="114" t="n"/>
      <c r="G56" s="114" t="n"/>
      <c r="H56" s="199" t="n"/>
      <c r="I56" s="214" t="n"/>
      <c r="J56" s="214" t="n"/>
      <c r="K56" s="203" t="n"/>
      <c r="L56" s="203" t="n"/>
      <c r="M56" s="203" t="n"/>
      <c r="N56" s="203" t="n"/>
      <c r="O56" s="203" t="n"/>
      <c r="P56" s="203" t="n"/>
      <c r="Q56" s="203" t="n"/>
      <c r="R56" s="203" t="n"/>
      <c r="S56" s="203" t="n"/>
      <c r="T56" s="203" t="n"/>
      <c r="U56" s="203" t="n"/>
      <c r="V56" s="203" t="n"/>
      <c r="W56" s="203" t="n"/>
      <c r="X56" s="203" t="n"/>
      <c r="Y56" s="203" t="n"/>
      <c r="Z56" s="203" t="n"/>
      <c r="AA56" s="203" t="n"/>
      <c r="AB56" s="114" t="n"/>
      <c r="AC56" s="114" t="n"/>
      <c r="AD56" s="114" t="n"/>
      <c r="AE56" s="114" t="n"/>
      <c r="AF56" s="114" t="n"/>
      <c r="AG56" s="114" t="n"/>
      <c r="AH56" s="114" t="n"/>
      <c r="AI56" s="114" t="n"/>
      <c r="AJ56" s="114" t="n"/>
      <c r="AK56" s="114" t="n"/>
      <c r="AL56" s="114" t="n"/>
      <c r="AM56" s="198" t="n"/>
      <c r="AN56" s="197" t="n"/>
      <c r="AO56" s="198" t="n"/>
      <c r="AP56" s="198" t="n"/>
      <c r="AQ56" s="198" t="n"/>
      <c r="AR56" s="198" t="n"/>
      <c r="AS56" s="198" t="n"/>
      <c r="AT56" s="198" t="n"/>
      <c r="AU56" s="203" t="n"/>
    </row>
    <row r="57" customFormat="1" s="203">
      <c r="A57" s="199" t="n"/>
      <c r="B57" s="114" t="n"/>
      <c r="C57" s="114" t="n"/>
      <c r="D57" s="114" t="n"/>
      <c r="E57" s="114" t="n"/>
      <c r="F57" s="114" t="n"/>
      <c r="G57" s="114" t="n"/>
      <c r="H57" s="199" t="n"/>
      <c r="I57" s="208" t="n"/>
      <c r="J57" s="209" t="n"/>
      <c r="K57" s="209" t="n"/>
      <c r="L57" s="209" t="n"/>
      <c r="M57" s="209" t="n"/>
      <c r="N57" s="209" t="n"/>
      <c r="O57" s="209" t="n"/>
      <c r="P57" s="210" t="n"/>
      <c r="Q57" s="258" t="n"/>
      <c r="S57" s="131" t="n"/>
      <c r="U57" s="212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114" t="n"/>
      <c r="AG57" s="217" t="n"/>
      <c r="AH57" s="217" t="n"/>
      <c r="AI57" s="114" t="n"/>
      <c r="AJ57" s="114" t="n"/>
      <c r="AK57" s="114" t="n"/>
      <c r="AL57" s="114" t="n"/>
      <c r="AM57" s="114" t="n"/>
      <c r="AN57" s="114" t="n"/>
      <c r="AO57" s="199" t="n"/>
      <c r="AP57" s="114" t="n"/>
      <c r="AQ57" s="114" t="n"/>
      <c r="AR57" s="114" t="n"/>
      <c r="AS57" s="198" t="n"/>
      <c r="AT57" s="198" t="n"/>
      <c r="AU57" s="198" t="n"/>
      <c r="AV57" s="203" t="n"/>
    </row>
    <row r="58" customFormat="1" s="203">
      <c r="A58" s="199" t="n"/>
      <c r="B58" s="114" t="n"/>
      <c r="C58" s="114" t="n"/>
      <c r="D58" s="114" t="n"/>
      <c r="E58" s="114" t="n"/>
      <c r="F58" s="114" t="n"/>
      <c r="G58" s="114" t="n"/>
      <c r="H58" s="199" t="n"/>
      <c r="I58" s="214" t="n"/>
      <c r="J58" s="2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  <c r="AB58" s="114" t="n"/>
      <c r="AC58" s="114" t="n"/>
      <c r="AD58" s="114" t="n"/>
      <c r="AE58" s="114" t="n"/>
      <c r="AF58" s="114" t="n"/>
      <c r="AG58" s="114" t="n"/>
      <c r="AH58" s="114" t="n"/>
      <c r="AI58" s="114" t="n"/>
      <c r="AJ58" s="114" t="n"/>
      <c r="AK58" s="114" t="n"/>
      <c r="AL58" s="114" t="n"/>
      <c r="AM58" s="198" t="n"/>
      <c r="AN58" s="197" t="n"/>
      <c r="AO58" s="198" t="n"/>
      <c r="AP58" s="198" t="n"/>
      <c r="AQ58" s="198" t="n"/>
      <c r="AR58" s="198" t="n"/>
      <c r="AS58" s="198" t="n"/>
      <c r="AT58" s="198" t="n"/>
      <c r="AU58" s="203" t="n"/>
    </row>
    <row r="59" customFormat="1" s="203">
      <c r="A59" s="199" t="n"/>
      <c r="B59" s="114" t="n"/>
      <c r="C59" s="114" t="n"/>
      <c r="D59" s="114" t="n"/>
      <c r="E59" s="114" t="n"/>
      <c r="F59" s="114" t="n"/>
      <c r="G59" s="114" t="n"/>
      <c r="H59" s="199" t="n"/>
      <c r="I59" s="214" t="n"/>
      <c r="J59" s="2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  <c r="AB59" s="114" t="n"/>
      <c r="AC59" s="114" t="n"/>
      <c r="AD59" s="114" t="n"/>
      <c r="AE59" s="114" t="n"/>
      <c r="AF59" s="114" t="n"/>
      <c r="AG59" s="114" t="n"/>
      <c r="AH59" s="114" t="n"/>
      <c r="AI59" s="114" t="n"/>
      <c r="AJ59" s="114" t="n"/>
      <c r="AK59" s="114" t="n"/>
      <c r="AL59" s="114" t="n"/>
      <c r="AM59" s="198" t="n"/>
      <c r="AN59" s="197" t="n"/>
      <c r="AO59" s="198" t="n"/>
      <c r="AP59" s="198" t="n"/>
      <c r="AQ59" s="198" t="n"/>
      <c r="AR59" s="198" t="n"/>
      <c r="AS59" s="198" t="n"/>
      <c r="AT59" s="198" t="n"/>
      <c r="AU59" s="203" t="n"/>
    </row>
    <row r="60" customFormat="1" s="203">
      <c r="A60" s="199" t="n"/>
      <c r="B60" s="114" t="n"/>
      <c r="C60" s="114" t="n"/>
      <c r="D60" s="114" t="n"/>
      <c r="E60" s="114" t="n"/>
      <c r="F60" s="114" t="n"/>
      <c r="G60" s="114" t="n"/>
      <c r="H60" s="199" t="n"/>
      <c r="I60" s="214" t="n"/>
      <c r="J60" s="2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  <c r="AB60" s="114" t="n"/>
      <c r="AC60" s="114" t="n"/>
      <c r="AD60" s="114" t="n"/>
      <c r="AE60" s="114" t="n"/>
      <c r="AF60" s="114" t="n"/>
      <c r="AG60" s="114" t="n"/>
      <c r="AH60" s="114" t="n"/>
      <c r="AI60" s="114" t="n"/>
      <c r="AJ60" s="114" t="n"/>
      <c r="AK60" s="114" t="n"/>
      <c r="AL60" s="114" t="n"/>
      <c r="AM60" s="215" t="n"/>
      <c r="AN60" s="198" t="n"/>
      <c r="AO60" s="198" t="n"/>
      <c r="AP60" s="198" t="n"/>
      <c r="AQ60" s="198" t="n"/>
      <c r="AR60" s="198" t="n"/>
      <c r="AS60" s="198" t="n"/>
      <c r="AT60" s="198" t="n"/>
    </row>
    <row r="61" customFormat="1" s="203">
      <c r="A61" s="199" t="n"/>
      <c r="B61" s="114" t="n"/>
      <c r="C61" s="114" t="n"/>
      <c r="D61" s="114" t="n"/>
      <c r="E61" s="114" t="n"/>
      <c r="F61" s="114" t="n"/>
      <c r="G61" s="114" t="n"/>
      <c r="H61" s="199" t="n"/>
      <c r="I61" s="214" t="n"/>
      <c r="J61" s="2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  <c r="AB61" s="114" t="n"/>
      <c r="AC61" s="114" t="n"/>
      <c r="AD61" s="114" t="n"/>
      <c r="AE61" s="114" t="n"/>
      <c r="AF61" s="114" t="n"/>
      <c r="AG61" s="114" t="n"/>
      <c r="AH61" s="114" t="n"/>
      <c r="AI61" s="114" t="n"/>
      <c r="AJ61" s="114" t="n"/>
      <c r="AK61" s="114" t="n"/>
      <c r="AL61" s="114" t="n"/>
      <c r="AM61" s="215" t="n"/>
      <c r="AN61" s="198" t="n"/>
      <c r="AO61" s="198" t="n"/>
      <c r="AP61" s="198" t="n"/>
      <c r="AQ61" s="198" t="n"/>
      <c r="AR61" s="198" t="n"/>
      <c r="AS61" s="198" t="n"/>
      <c r="AT61" s="198" t="n"/>
    </row>
    <row r="62" customFormat="1" s="203">
      <c r="A62" s="199" t="n"/>
      <c r="B62" s="114" t="n"/>
      <c r="C62" s="114" t="n"/>
      <c r="D62" s="114" t="n"/>
      <c r="E62" s="114" t="n"/>
      <c r="F62" s="114" t="n"/>
      <c r="G62" s="114" t="n"/>
      <c r="H62" s="216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  <c r="AB62" s="114" t="n"/>
      <c r="AC62" s="114" t="n"/>
      <c r="AD62" s="114" t="n"/>
      <c r="AE62" s="114" t="n"/>
      <c r="AF62" s="114" t="n"/>
      <c r="AG62" s="114" t="n"/>
      <c r="AH62" s="114" t="n"/>
      <c r="AI62" s="114" t="n"/>
      <c r="AJ62" s="114" t="n"/>
      <c r="AK62" s="114" t="n"/>
      <c r="AL62" s="114" t="n"/>
      <c r="AM62" s="215" t="n"/>
      <c r="AN62" s="198" t="n"/>
      <c r="AO62" s="198" t="n"/>
      <c r="AP62" s="198" t="n"/>
      <c r="AQ62" s="198" t="n"/>
      <c r="AR62" s="198" t="n"/>
      <c r="AS62" s="198" t="n"/>
      <c r="AT62" s="198" t="n"/>
    </row>
    <row r="63" customFormat="1" s="203">
      <c r="A63" s="199" t="n"/>
      <c r="B63" s="114" t="n"/>
      <c r="C63" s="114" t="n"/>
      <c r="D63" s="114" t="n"/>
      <c r="E63" s="114" t="n"/>
      <c r="F63" s="114" t="n"/>
      <c r="G63" s="114" t="n"/>
      <c r="H63" s="199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  <c r="AB63" s="114" t="n"/>
      <c r="AC63" s="114" t="n"/>
      <c r="AD63" s="114" t="n"/>
      <c r="AE63" s="0" t="n"/>
      <c r="AF63" s="114" t="n"/>
      <c r="AG63" s="114" t="n"/>
      <c r="AH63" s="114" t="n"/>
      <c r="AI63" s="114" t="n"/>
      <c r="AJ63" s="114" t="n"/>
      <c r="AK63" s="114" t="n"/>
      <c r="AL63" s="114" t="n"/>
      <c r="AM63" s="215" t="n"/>
      <c r="AN63" s="198" t="n"/>
      <c r="AO63" s="198" t="n"/>
      <c r="AP63" s="198" t="n"/>
      <c r="AQ63" s="198" t="n"/>
      <c r="AR63" s="198" t="n"/>
      <c r="AS63" s="198" t="n"/>
      <c r="AT63" s="198" t="n"/>
    </row>
    <row r="64" customFormat="1" s="203">
      <c r="A64" s="199" t="n"/>
      <c r="B64" s="217" t="n"/>
      <c r="C64" s="217" t="n"/>
      <c r="D64" s="217" t="n"/>
      <c r="E64" s="217" t="n"/>
      <c r="F64" s="217" t="n"/>
      <c r="G64" s="217" t="n"/>
      <c r="H64" s="97" t="n"/>
      <c r="I64" s="114" t="n"/>
      <c r="J64" s="104" t="n"/>
      <c r="U64" s="114" t="n"/>
      <c r="V64" s="114" t="n"/>
      <c r="W64" s="114" t="n"/>
      <c r="X64" s="114" t="n"/>
      <c r="Y64" s="114" t="n"/>
      <c r="Z64" s="114" t="n"/>
      <c r="AA64" s="114" t="n"/>
      <c r="AB64" s="114" t="n"/>
      <c r="AC64" s="214" t="n"/>
      <c r="AD64" s="114" t="n"/>
      <c r="AE64" s="0" t="n"/>
      <c r="AF64" s="114" t="n"/>
      <c r="AG64" s="114" t="n"/>
      <c r="AH64" s="114" t="n"/>
      <c r="AI64" s="114" t="n"/>
      <c r="AJ64" s="114" t="n"/>
      <c r="AK64" s="114" t="n"/>
      <c r="AL64" s="114" t="n"/>
      <c r="AM64" s="215" t="n"/>
      <c r="AN64" s="198" t="n"/>
      <c r="AO64" s="198" t="n"/>
      <c r="AP64" s="198" t="n"/>
      <c r="AQ64" s="198" t="n"/>
      <c r="AR64" s="198" t="n"/>
      <c r="AS64" s="198" t="n"/>
      <c r="AT64" s="198" t="n"/>
    </row>
    <row r="65" customFormat="1" s="203">
      <c r="A65" s="218" t="n"/>
      <c r="B65" s="111" t="n"/>
      <c r="C65" s="111" t="n"/>
      <c r="D65" s="111" t="n"/>
      <c r="E65" s="111" t="n"/>
      <c r="F65" s="111" t="n"/>
      <c r="G65" s="111" t="n"/>
      <c r="H65" s="218" t="n"/>
      <c r="I65" s="111" t="n"/>
      <c r="J65" s="111" t="n"/>
      <c r="K65" s="111" t="n"/>
      <c r="L65" s="111" t="n"/>
      <c r="M65" s="111" t="n"/>
      <c r="N65" s="111" t="n"/>
      <c r="O65" s="111" t="n"/>
      <c r="P65" s="111" t="n"/>
      <c r="Q65" s="111" t="n"/>
      <c r="R65" s="111" t="n"/>
      <c r="S65" s="111" t="n"/>
      <c r="T65" s="111" t="n"/>
      <c r="U65" s="111" t="n"/>
      <c r="V65" s="111" t="n"/>
      <c r="W65" s="111" t="n"/>
      <c r="X65" s="111" t="n"/>
      <c r="Y65" s="111" t="n"/>
      <c r="Z65" s="111" t="n"/>
      <c r="AA65" s="111" t="n"/>
      <c r="AB65" s="111" t="n"/>
      <c r="AC65" s="111" t="n"/>
      <c r="AD65" s="111" t="n"/>
      <c r="AE65" s="0" t="n"/>
      <c r="AF65" s="111" t="n"/>
      <c r="AG65" s="111" t="n"/>
      <c r="AH65" s="111" t="n"/>
      <c r="AI65" s="111" t="n"/>
      <c r="AJ65" s="111" t="n"/>
      <c r="AK65" s="111" t="n"/>
      <c r="AL65" s="111" t="n"/>
      <c r="AM65" s="112" t="n"/>
    </row>
    <row r="66" customFormat="1" s="203">
      <c r="B66" s="203" t="n"/>
      <c r="J66" s="113" t="n"/>
      <c r="K66" s="113" t="n"/>
      <c r="P66" s="113" t="n"/>
      <c r="AE66" s="0" t="n"/>
    </row>
    <row r="67" s="221">
      <c r="A67" s="219" t="n"/>
      <c r="B67" s="203" t="n"/>
      <c r="J67" s="113" t="n"/>
      <c r="K67" s="113" t="n"/>
      <c r="P67" s="113" t="n"/>
    </row>
    <row r="68" s="221">
      <c r="A68" s="219" t="n"/>
      <c r="B68" s="203" t="n"/>
      <c r="J68" s="113" t="n"/>
      <c r="K68" s="113" t="n"/>
      <c r="P68" s="113" t="n"/>
    </row>
  </sheetData>
  <mergeCells count="207">
    <mergeCell ref="R26:R30"/>
    <mergeCell ref="J26:J30"/>
    <mergeCell ref="X4:AD4"/>
    <mergeCell ref="T26:T30"/>
    <mergeCell ref="AM4:AM6"/>
    <mergeCell ref="L26:L30"/>
    <mergeCell ref="L16:L21"/>
    <mergeCell ref="AT16:AT21"/>
    <mergeCell ref="N16:N21"/>
    <mergeCell ref="AV16:AV21"/>
    <mergeCell ref="F16:F21"/>
    <mergeCell ref="H7:H15"/>
    <mergeCell ref="A26:A30"/>
    <mergeCell ref="AH26:AH30"/>
    <mergeCell ref="AB22:AB25"/>
    <mergeCell ref="AJ26:AJ30"/>
    <mergeCell ref="AN22:AN25"/>
    <mergeCell ref="AP22:AP25"/>
    <mergeCell ref="I16:I21"/>
    <mergeCell ref="AF7:AF15"/>
    <mergeCell ref="K7:K15"/>
    <mergeCell ref="AF16:AF21"/>
    <mergeCell ref="AH7:AH15"/>
    <mergeCell ref="G5:G6"/>
    <mergeCell ref="S26:S30"/>
    <mergeCell ref="U26:U30"/>
    <mergeCell ref="AM26:AM30"/>
    <mergeCell ref="J22:J25"/>
    <mergeCell ref="O7:O15"/>
    <mergeCell ref="O16:O21"/>
    <mergeCell ref="Q7:Q15"/>
    <mergeCell ref="AG16:AG21"/>
    <mergeCell ref="AI16:AI21"/>
    <mergeCell ref="AK7:AK15"/>
    <mergeCell ref="AC7:AC15"/>
    <mergeCell ref="AS16:AS21"/>
    <mergeCell ref="AE7:AE15"/>
    <mergeCell ref="AU16:AU21"/>
    <mergeCell ref="A22:A25"/>
    <mergeCell ref="AG5:AG6"/>
    <mergeCell ref="AS26:AS30"/>
    <mergeCell ref="C26:C30"/>
    <mergeCell ref="AO7:AO15"/>
    <mergeCell ref="AQ7:AQ15"/>
    <mergeCell ref="A7:A15"/>
    <mergeCell ref="Q16:Q21"/>
    <mergeCell ref="S16:S21"/>
    <mergeCell ref="AH22:AH25"/>
    <mergeCell ref="S22:S25"/>
    <mergeCell ref="A1:AM1"/>
    <mergeCell ref="Q5:Q6"/>
    <mergeCell ref="U22:U25"/>
    <mergeCell ref="F26:F30"/>
    <mergeCell ref="AC26:AC30"/>
    <mergeCell ref="AM22:AM25"/>
    <mergeCell ref="AE22:AE25"/>
    <mergeCell ref="AG22:AG25"/>
    <mergeCell ref="B16:B21"/>
    <mergeCell ref="D7:D15"/>
    <mergeCell ref="F5:F6"/>
    <mergeCell ref="P7:P15"/>
    <mergeCell ref="AD26:AD30"/>
    <mergeCell ref="V26:V30"/>
    <mergeCell ref="C22:C25"/>
    <mergeCell ref="AI5:AL5"/>
    <mergeCell ref="A4:A6"/>
    <mergeCell ref="AF26:AF30"/>
    <mergeCell ref="AF5:AF6"/>
    <mergeCell ref="AR26:AR30"/>
    <mergeCell ref="J7:J15"/>
    <mergeCell ref="AT26:AT30"/>
    <mergeCell ref="R16:R21"/>
    <mergeCell ref="AB16:AB21"/>
    <mergeCell ref="T7:T15"/>
    <mergeCell ref="AD7:AD15"/>
    <mergeCell ref="V7:V15"/>
    <mergeCell ref="AL16:AL21"/>
    <mergeCell ref="X5:X6"/>
    <mergeCell ref="AN7:AN15"/>
    <mergeCell ref="AN16:AN21"/>
    <mergeCell ref="Z5:Z6"/>
    <mergeCell ref="AP7:AP15"/>
    <mergeCell ref="F22:F25"/>
    <mergeCell ref="N26:N30"/>
    <mergeCell ref="AV26:AV30"/>
    <mergeCell ref="H22:H25"/>
    <mergeCell ref="P26:P30"/>
    <mergeCell ref="H26:H30"/>
    <mergeCell ref="R22:R25"/>
    <mergeCell ref="T22:T25"/>
    <mergeCell ref="AR7:AR15"/>
    <mergeCell ref="AR16:AR21"/>
    <mergeCell ref="AT7:AT15"/>
    <mergeCell ref="AV7:AV15"/>
    <mergeCell ref="L22:L25"/>
    <mergeCell ref="V22:V25"/>
    <mergeCell ref="AB5:AD5"/>
    <mergeCell ref="I26:I30"/>
    <mergeCell ref="K26:K30"/>
    <mergeCell ref="AR22:AR25"/>
    <mergeCell ref="AJ22:AJ25"/>
    <mergeCell ref="AT22:AT25"/>
    <mergeCell ref="AL22:AL25"/>
    <mergeCell ref="E16:E21"/>
    <mergeCell ref="G7:G15"/>
    <mergeCell ref="G16:G21"/>
    <mergeCell ref="I7:I15"/>
    <mergeCell ref="W26:W30"/>
    <mergeCell ref="C5:C6"/>
    <mergeCell ref="O26:O30"/>
    <mergeCell ref="E5:E6"/>
    <mergeCell ref="Q26:Q30"/>
    <mergeCell ref="AI26:AI30"/>
    <mergeCell ref="Y5:Y6"/>
    <mergeCell ref="AK26:AK30"/>
    <mergeCell ref="K16:K21"/>
    <mergeCell ref="AU26:AU30"/>
    <mergeCell ref="M7:M15"/>
    <mergeCell ref="AC16:AC21"/>
    <mergeCell ref="K5:L5"/>
    <mergeCell ref="AE16:AE21"/>
    <mergeCell ref="AG7:AG15"/>
    <mergeCell ref="AI7:AI15"/>
    <mergeCell ref="AO16:AO21"/>
    <mergeCell ref="AA5:AA6"/>
    <mergeCell ref="AQ16:AQ21"/>
    <mergeCell ref="AS7:AS15"/>
    <mergeCell ref="AO26:AO30"/>
    <mergeCell ref="I22:I25"/>
    <mergeCell ref="AQ22:AQ25"/>
    <mergeCell ref="K22:K25"/>
    <mergeCell ref="AS22:AS25"/>
    <mergeCell ref="M22:M25"/>
    <mergeCell ref="M16:M21"/>
    <mergeCell ref="AB7:AB15"/>
    <mergeCell ref="O22:O25"/>
    <mergeCell ref="M5:P5"/>
    <mergeCell ref="B26:B30"/>
    <mergeCell ref="Q22:Q25"/>
    <mergeCell ref="AE4:AE6"/>
    <mergeCell ref="D26:D30"/>
    <mergeCell ref="AC22:AC25"/>
    <mergeCell ref="AU22:AU25"/>
    <mergeCell ref="P16:P21"/>
    <mergeCell ref="B7:B15"/>
    <mergeCell ref="H16:H21"/>
    <mergeCell ref="J16:J21"/>
    <mergeCell ref="L7:L15"/>
    <mergeCell ref="AB26:AB30"/>
    <mergeCell ref="H5:H6"/>
    <mergeCell ref="R5:R6"/>
    <mergeCell ref="J5:J6"/>
    <mergeCell ref="AD22:AD25"/>
    <mergeCell ref="AL26:AL30"/>
    <mergeCell ref="AF22:AF25"/>
    <mergeCell ref="AN26:AN30"/>
    <mergeCell ref="F7:F15"/>
    <mergeCell ref="V16:V21"/>
    <mergeCell ref="AP26:AP30"/>
    <mergeCell ref="R7:R15"/>
    <mergeCell ref="AH16:AH21"/>
    <mergeCell ref="T5:T6"/>
    <mergeCell ref="AJ7:AJ15"/>
    <mergeCell ref="AJ16:AJ21"/>
    <mergeCell ref="AL7:AL15"/>
    <mergeCell ref="B22:B25"/>
    <mergeCell ref="AH5:AH6"/>
    <mergeCell ref="D22:D25"/>
    <mergeCell ref="N22:N25"/>
    <mergeCell ref="AV22:AV25"/>
    <mergeCell ref="P22:P25"/>
    <mergeCell ref="S7:S15"/>
    <mergeCell ref="U7:U15"/>
    <mergeCell ref="W7:W15"/>
    <mergeCell ref="M26:M30"/>
    <mergeCell ref="E26:E30"/>
    <mergeCell ref="G26:G30"/>
    <mergeCell ref="A16:A21"/>
    <mergeCell ref="C7:C15"/>
    <mergeCell ref="AU7:AU15"/>
    <mergeCell ref="C16:C21"/>
    <mergeCell ref="E7:E15"/>
    <mergeCell ref="AM7:AM15"/>
    <mergeCell ref="U16:U21"/>
    <mergeCell ref="W16:W21"/>
    <mergeCell ref="I5:I6"/>
    <mergeCell ref="S5:S6"/>
    <mergeCell ref="W22:W25"/>
    <mergeCell ref="AE26:AE30"/>
    <mergeCell ref="AG26:AG30"/>
    <mergeCell ref="U5:W5"/>
    <mergeCell ref="AI22:AI25"/>
    <mergeCell ref="AQ26:AQ30"/>
    <mergeCell ref="AK22:AK25"/>
    <mergeCell ref="D16:D21"/>
    <mergeCell ref="B4:P4"/>
    <mergeCell ref="AK16:AK21"/>
    <mergeCell ref="AM16:AM21"/>
    <mergeCell ref="B5:B6"/>
    <mergeCell ref="D5:D6"/>
    <mergeCell ref="E22:E25"/>
    <mergeCell ref="G22:G25"/>
    <mergeCell ref="AO22:AO25"/>
    <mergeCell ref="N7:N15"/>
    <mergeCell ref="T16:T21"/>
    <mergeCell ref="AD16:AD21"/>
    <mergeCell ref="AP16:AP21"/>
  </mergeCells>
  <dataValidations count="2">
    <dataValidation sqref="J64:T64" showDropDown="0" showInputMessage="0" showErrorMessage="0" allowBlank="1" type="list">
      <formula1>$J$67:$J$68</formula1>
    </dataValidation>
    <dataValidation sqref="AC64" showDropDown="0" showInputMessage="0" showErrorMessage="0" allowBlank="1" type="list">
      <formula1>"未见异常可以确认,不能确认,经调整后可以确认,"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0" tint="-0.04999"/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ColWidth="9" defaultRowHeight="18"/>
  <cols>
    <col width="5" customWidth="1" style="221" min="1" max="1"/>
    <col width="8.703703880310059" customWidth="1" style="221" min="2" max="2"/>
    <col hidden="1" width="6.583333492279053" customWidth="1" style="221" min="3" max="3"/>
    <col width="7.296296119689941" customWidth="1" style="221" min="4" max="4"/>
    <col width="58.17592620849609" customWidth="1" style="221" min="5" max="5"/>
    <col width="13.40740776062012" customWidth="1" style="221" min="6" max="6"/>
    <col width="11.70370388031006" customWidth="1" style="221" min="7" max="7"/>
    <col width="17.64814758300781" customWidth="1" style="221" min="8" max="8"/>
    <col width="8.703703880310059" customWidth="1" style="221" min="9" max="9"/>
    <col width="16" customWidth="1" style="221" min="10" max="10"/>
    <col width="19.29629707336426" customWidth="1" style="221" min="11" max="11"/>
    <col width="11.70370388031006" customWidth="1" style="221" min="12" max="12"/>
    <col width="10.70370388031006" customWidth="1" style="221" min="13" max="13"/>
    <col hidden="1" width="8.703703880310059" customWidth="1" style="221" min="14" max="14"/>
    <col hidden="1" width="8.583333015441895" customWidth="1" style="221" min="15" max="16"/>
    <col hidden="1" width="11.70370388031006" customWidth="1" style="221" min="17" max="17"/>
    <col width="8.703703880310059" customWidth="1" style="221" min="18" max="18"/>
    <col width="34.12036895751953" customWidth="1" style="221" min="19" max="19"/>
    <col hidden="1" width="9.296296119689941" customWidth="1" style="221" min="20" max="20"/>
    <col hidden="1" width="11.70370388031006" customWidth="1" style="221" min="21" max="21"/>
    <col hidden="1" width="13.12036991119385" customWidth="1" style="221" min="22" max="22"/>
    <col width="2.879629611968994" customWidth="1" style="221" min="23" max="32"/>
    <col width="10.70370388031006" customWidth="1" style="221" min="33" max="33"/>
    <col width="9.120369911193848" customWidth="1" style="221" min="34" max="34"/>
  </cols>
  <sheetData>
    <row r="1" ht="20.25" customHeight="1" s="221">
      <c r="A1" s="1" t="inlineStr">
        <is>
          <t>主营业务收入细节测试记录表（从明细账到合同）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U1" s="2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>
        <f>HYPERLINK("#目录!A1","返回目录")</f>
        <v/>
      </c>
    </row>
    <row r="2" ht="15" customHeight="1" s="221">
      <c r="A2" s="114">
        <f>[1]目录!$A$2&amp;[1]目录!$C$2</f>
        <v/>
      </c>
      <c r="B2" s="113" t="n"/>
      <c r="C2" s="7" t="n"/>
      <c r="D2" s="7" t="n"/>
      <c r="E2" s="114" t="n"/>
      <c r="F2" s="114" t="n"/>
      <c r="G2" s="114" t="n"/>
      <c r="H2" s="114" t="n"/>
      <c r="J2" s="114" t="n"/>
      <c r="L2" s="114">
        <f>[1]目录!$A$4&amp;[1]目录!$C$4&amp;"               "&amp;[1]目录!$A$5&amp;[1]目录!$C$5</f>
        <v/>
      </c>
      <c r="M2" s="114" t="n"/>
      <c r="N2" s="104" t="n"/>
      <c r="O2" s="114" t="n"/>
      <c r="P2" s="114" t="n"/>
      <c r="Q2" s="9" t="n"/>
      <c r="R2" s="9" t="n"/>
      <c r="S2" s="9" t="n"/>
      <c r="T2" s="104" t="n"/>
      <c r="U2" s="9" t="n"/>
      <c r="V2" s="114" t="n"/>
      <c r="W2" s="114" t="n"/>
      <c r="X2" s="114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24">
        <f>"索引号："&amp;[1]目录!$D$53</f>
        <v/>
      </c>
      <c r="AH2" s="114" t="n"/>
    </row>
    <row r="3" ht="15" customHeight="1" s="221">
      <c r="A3" s="114">
        <f>[1]目录!$D$3&amp;[1]目录!$F$3</f>
        <v/>
      </c>
      <c r="B3" s="113" t="n"/>
      <c r="C3" s="114" t="n"/>
      <c r="D3" s="114" t="n"/>
      <c r="E3" s="114" t="n"/>
      <c r="F3" s="114" t="n"/>
      <c r="G3" s="114" t="n"/>
      <c r="H3" s="114" t="n"/>
      <c r="J3" s="114" t="n"/>
      <c r="L3" s="114">
        <f>[1]目录!$D$4&amp;[1]目录!$F$4&amp;"               "&amp;[1]目录!$D$5&amp;[1]目录!$F$5</f>
        <v/>
      </c>
      <c r="M3" s="114" t="n"/>
      <c r="N3" s="104" t="n"/>
      <c r="O3" s="114" t="n"/>
      <c r="P3" s="114" t="n"/>
      <c r="Q3" s="12" t="n"/>
      <c r="R3" s="9" t="n"/>
      <c r="S3" s="9" t="n"/>
      <c r="T3" s="114" t="n"/>
      <c r="U3" s="9" t="n"/>
      <c r="V3" s="114" t="n"/>
      <c r="W3" s="114" t="n"/>
      <c r="X3" s="114" t="n"/>
      <c r="Y3" s="13" t="n"/>
      <c r="Z3" s="13" t="n"/>
      <c r="AA3" s="13" t="n"/>
      <c r="AB3" s="13" t="n"/>
      <c r="AC3" s="13" t="n"/>
      <c r="AD3" s="13" t="n"/>
      <c r="AE3" s="13" t="n"/>
      <c r="AF3" s="114" t="n"/>
      <c r="AG3" s="114" t="n"/>
      <c r="AH3" s="114" t="n"/>
    </row>
    <row r="4" s="221">
      <c r="A4" s="14" t="inlineStr">
        <is>
          <t>入账情况</t>
        </is>
      </c>
      <c r="B4" s="259" t="n"/>
      <c r="C4" s="259" t="n"/>
      <c r="D4" s="259" t="n"/>
      <c r="E4" s="259" t="n"/>
      <c r="F4" s="259" t="n"/>
      <c r="G4" s="260" t="n"/>
      <c r="H4" s="220" t="inlineStr">
        <is>
          <t>检查内容</t>
        </is>
      </c>
      <c r="I4" s="224" t="n"/>
      <c r="J4" s="224" t="n"/>
      <c r="K4" s="224" t="n"/>
      <c r="L4" s="224" t="n"/>
      <c r="M4" s="224" t="n"/>
      <c r="N4" s="224" t="n"/>
      <c r="O4" s="224" t="n"/>
      <c r="P4" s="224" t="n"/>
      <c r="Q4" s="224" t="n"/>
      <c r="R4" s="224" t="n"/>
      <c r="S4" s="224" t="n"/>
      <c r="T4" s="224" t="n"/>
      <c r="U4" s="225" t="n"/>
      <c r="V4" s="25" t="inlineStr">
        <is>
          <t>其他支付性文件或说明</t>
        </is>
      </c>
      <c r="W4" s="220" t="inlineStr">
        <is>
          <t>检查内容</t>
        </is>
      </c>
      <c r="X4" s="224" t="n"/>
      <c r="Y4" s="224" t="n"/>
      <c r="Z4" s="224" t="n"/>
      <c r="AA4" s="224" t="n"/>
      <c r="AB4" s="224" t="n"/>
      <c r="AC4" s="224" t="n"/>
      <c r="AD4" s="224" t="n"/>
      <c r="AE4" s="224" t="n"/>
      <c r="AF4" s="225" t="n"/>
      <c r="AG4" s="220" t="inlineStr">
        <is>
          <t>结论</t>
        </is>
      </c>
      <c r="AH4" s="114" t="n"/>
    </row>
    <row r="5" s="221">
      <c r="A5" s="261" t="n"/>
      <c r="B5" s="262" t="n"/>
      <c r="C5" s="262" t="n"/>
      <c r="D5" s="262" t="n"/>
      <c r="E5" s="262" t="n"/>
      <c r="F5" s="262" t="n"/>
      <c r="G5" s="263" t="n"/>
      <c r="H5" s="220" t="inlineStr">
        <is>
          <t>销售合同、请购单内容</t>
        </is>
      </c>
      <c r="I5" s="224" t="n"/>
      <c r="J5" s="224" t="n"/>
      <c r="K5" s="224" t="n"/>
      <c r="L5" s="224" t="n"/>
      <c r="M5" s="225" t="n"/>
      <c r="N5" s="220" t="inlineStr">
        <is>
          <t>销售发票</t>
        </is>
      </c>
      <c r="O5" s="224" t="n"/>
      <c r="P5" s="224" t="n"/>
      <c r="Q5" s="225" t="n"/>
      <c r="R5" s="220" t="inlineStr">
        <is>
          <t>物流记录或客户验收单</t>
        </is>
      </c>
      <c r="S5" s="224" t="n"/>
      <c r="T5" s="224" t="n"/>
      <c r="U5" s="225" t="n"/>
      <c r="V5" s="226" t="n"/>
      <c r="W5" s="131" t="inlineStr">
        <is>
          <t>常规检查</t>
        </is>
      </c>
      <c r="X5" s="224" t="n"/>
      <c r="Y5" s="224" t="n"/>
      <c r="Z5" s="224" t="n"/>
      <c r="AA5" s="224" t="n"/>
      <c r="AB5" s="225" t="n"/>
      <c r="AC5" s="131" t="inlineStr">
        <is>
          <t>追加检查</t>
        </is>
      </c>
      <c r="AD5" s="224" t="n"/>
      <c r="AE5" s="224" t="n"/>
      <c r="AF5" s="225" t="n"/>
      <c r="AG5" s="226" t="n"/>
      <c r="AH5" s="114" t="n"/>
    </row>
    <row r="6" ht="23.25" customHeight="1" s="221">
      <c r="A6" s="14" t="inlineStr">
        <is>
          <t>序号</t>
        </is>
      </c>
      <c r="B6" s="14" t="inlineStr">
        <is>
          <t>日期</t>
        </is>
      </c>
      <c r="C6" s="14" t="inlineStr">
        <is>
          <t>凭证字</t>
        </is>
      </c>
      <c r="D6" s="14" t="inlineStr">
        <is>
          <t>凭证号</t>
        </is>
      </c>
      <c r="E6" s="14" t="inlineStr">
        <is>
          <t>凭证摘要</t>
        </is>
      </c>
      <c r="F6" s="14" t="inlineStr">
        <is>
          <t>对方科目</t>
        </is>
      </c>
      <c r="G6" s="14" t="inlineStr">
        <is>
          <t>入帐金额</t>
        </is>
      </c>
      <c r="H6" s="25" t="inlineStr">
        <is>
          <t>合同编号</t>
        </is>
      </c>
      <c r="I6" s="25" t="inlineStr">
        <is>
          <t>签约日期</t>
        </is>
      </c>
      <c r="J6" s="25" t="inlineStr">
        <is>
          <t>客户名称</t>
        </is>
      </c>
      <c r="K6" s="14" t="inlineStr">
        <is>
          <t>货名/规格/数量/单价</t>
        </is>
      </c>
      <c r="L6" s="14" t="inlineStr">
        <is>
          <t>金额</t>
        </is>
      </c>
      <c r="M6" s="26" t="inlineStr">
        <is>
          <t>约定交货时间</t>
        </is>
      </c>
      <c r="N6" s="14" t="inlineStr">
        <is>
          <t>日期</t>
        </is>
      </c>
      <c r="O6" s="14" t="inlineStr">
        <is>
          <t>编号</t>
        </is>
      </c>
      <c r="P6" s="25" t="inlineStr">
        <is>
          <t>数量</t>
        </is>
      </c>
      <c r="Q6" s="14" t="inlineStr">
        <is>
          <t>金额</t>
        </is>
      </c>
      <c r="R6" s="14" t="inlineStr">
        <is>
          <t>日期</t>
        </is>
      </c>
      <c r="S6" s="14" t="inlineStr">
        <is>
          <t>编号</t>
        </is>
      </c>
      <c r="T6" s="14" t="inlineStr">
        <is>
          <t>数量</t>
        </is>
      </c>
      <c r="U6" s="26" t="inlineStr">
        <is>
          <t>金额(如适用)</t>
        </is>
      </c>
      <c r="V6" s="227" t="n"/>
      <c r="W6" s="28" t="inlineStr">
        <is>
          <t>①</t>
        </is>
      </c>
      <c r="X6" s="28" t="inlineStr">
        <is>
          <t>②</t>
        </is>
      </c>
      <c r="Y6" s="28" t="inlineStr">
        <is>
          <t>③</t>
        </is>
      </c>
      <c r="Z6" s="28" t="inlineStr">
        <is>
          <t>④</t>
        </is>
      </c>
      <c r="AA6" s="29" t="inlineStr">
        <is>
          <t>⑤</t>
        </is>
      </c>
      <c r="AB6" s="29" t="inlineStr">
        <is>
          <t>⑥</t>
        </is>
      </c>
      <c r="AC6" s="29" t="inlineStr">
        <is>
          <t>⑦</t>
        </is>
      </c>
      <c r="AD6" s="29" t="inlineStr">
        <is>
          <t>⑧</t>
        </is>
      </c>
      <c r="AE6" s="29" t="inlineStr">
        <is>
          <t>⑨</t>
        </is>
      </c>
      <c r="AF6" s="29" t="inlineStr">
        <is>
          <t>⑩</t>
        </is>
      </c>
      <c r="AG6" s="227" t="n"/>
      <c r="AH6" s="217" t="n"/>
    </row>
    <row r="7" ht="65.09999847412109" customHeight="1" s="221">
      <c r="A7" s="64" t="n"/>
      <c r="B7" s="164" t="n"/>
      <c r="C7" s="64" t="n"/>
      <c r="D7" s="58" t="n"/>
      <c r="E7" s="64" t="n"/>
      <c r="F7" s="180" t="n"/>
      <c r="G7" s="264" t="n"/>
      <c r="H7" s="64" t="n"/>
      <c r="I7" s="164" t="n"/>
      <c r="J7" s="58" t="n"/>
      <c r="K7" s="58" t="n"/>
      <c r="L7" s="265" t="n"/>
      <c r="M7" s="41" t="n"/>
      <c r="N7" s="42" t="n"/>
      <c r="O7" s="42" t="n"/>
      <c r="P7" s="42" t="n"/>
      <c r="Q7" s="266" t="n"/>
      <c r="R7" s="41" t="n"/>
      <c r="S7" s="267" t="n"/>
      <c r="T7" s="268" t="n"/>
      <c r="U7" s="269" t="n"/>
      <c r="V7" s="270" t="n"/>
      <c r="W7" s="268" t="n"/>
      <c r="X7" s="268" t="n"/>
      <c r="Y7" s="268" t="n"/>
      <c r="Z7" s="268" t="n"/>
      <c r="AA7" s="268" t="n"/>
      <c r="AB7" s="268" t="n"/>
      <c r="AC7" s="268" t="n"/>
      <c r="AD7" s="268" t="n"/>
      <c r="AE7" s="268" t="n"/>
      <c r="AF7" s="268" t="n"/>
      <c r="AG7" s="49" t="n"/>
      <c r="AH7" s="114" t="n"/>
    </row>
    <row r="8" ht="65.09999847412109" customHeight="1" s="221">
      <c r="A8" s="64" t="n"/>
      <c r="B8" s="227" t="n"/>
      <c r="C8" s="64" t="n"/>
      <c r="D8" s="227" t="n"/>
      <c r="E8" s="227" t="n"/>
      <c r="F8" s="227" t="n"/>
      <c r="G8" s="227" t="n"/>
      <c r="H8" s="64" t="n"/>
      <c r="I8" s="164" t="n"/>
      <c r="J8" s="226" t="n"/>
      <c r="K8" s="58" t="n"/>
      <c r="L8" s="265" t="n"/>
      <c r="M8" s="41" t="n"/>
      <c r="N8" s="42" t="n"/>
      <c r="O8" s="42" t="n"/>
      <c r="P8" s="42" t="n"/>
      <c r="Q8" s="266" t="n"/>
      <c r="R8" s="226" t="n"/>
      <c r="S8" s="226" t="n"/>
      <c r="T8" s="268" t="n"/>
      <c r="U8" s="269" t="n"/>
      <c r="V8" s="270" t="n"/>
      <c r="W8" s="268" t="n"/>
      <c r="X8" s="268" t="n"/>
      <c r="Y8" s="268" t="n"/>
      <c r="Z8" s="268" t="n"/>
      <c r="AA8" s="268" t="n"/>
      <c r="AB8" s="268" t="n"/>
      <c r="AC8" s="268" t="n"/>
      <c r="AD8" s="268" t="n"/>
      <c r="AE8" s="268" t="n"/>
      <c r="AF8" s="268" t="n"/>
      <c r="AG8" s="49" t="n"/>
      <c r="AH8" s="114" t="n"/>
    </row>
    <row r="9" ht="65.09999847412109" customHeight="1" s="221">
      <c r="A9" s="64" t="n"/>
      <c r="B9" s="164" t="n"/>
      <c r="C9" s="64" t="n"/>
      <c r="D9" s="58" t="n"/>
      <c r="E9" s="64" t="n"/>
      <c r="F9" s="180" t="n"/>
      <c r="G9" s="264" t="n"/>
      <c r="H9" s="64" t="n"/>
      <c r="I9" s="164" t="n"/>
      <c r="J9" s="226" t="n"/>
      <c r="K9" s="58" t="n"/>
      <c r="L9" s="265" t="n"/>
      <c r="M9" s="41" t="n"/>
      <c r="N9" s="42" t="n"/>
      <c r="O9" s="42" t="n"/>
      <c r="P9" s="42" t="n"/>
      <c r="Q9" s="266" t="n"/>
      <c r="R9" s="226" t="n"/>
      <c r="S9" s="226" t="n"/>
      <c r="T9" s="268" t="n"/>
      <c r="U9" s="269" t="n"/>
      <c r="V9" s="270" t="n"/>
      <c r="W9" s="268" t="n"/>
      <c r="X9" s="268" t="n"/>
      <c r="Y9" s="268" t="n"/>
      <c r="Z9" s="268" t="n"/>
      <c r="AA9" s="268" t="n"/>
      <c r="AB9" s="268" t="n"/>
      <c r="AC9" s="268" t="n"/>
      <c r="AD9" s="268" t="n"/>
      <c r="AE9" s="268" t="n"/>
      <c r="AF9" s="268" t="n"/>
      <c r="AG9" s="49" t="n"/>
      <c r="AH9" s="114" t="n"/>
    </row>
    <row r="10" ht="65.09999847412109" customHeight="1" s="221">
      <c r="A10" s="64" t="n"/>
      <c r="H10" s="64" t="n"/>
      <c r="I10" s="164" t="n"/>
      <c r="J10" s="226" t="n"/>
      <c r="K10" s="58" t="n"/>
      <c r="L10" s="265" t="n"/>
      <c r="M10" s="41" t="n"/>
      <c r="N10" s="42" t="n"/>
      <c r="O10" s="42" t="n"/>
      <c r="P10" s="42" t="n"/>
      <c r="Q10" s="266" t="n"/>
      <c r="R10" s="227" t="n"/>
      <c r="S10" s="227" t="n"/>
      <c r="T10" s="268" t="n"/>
      <c r="U10" s="269" t="n"/>
      <c r="V10" s="270" t="n"/>
      <c r="W10" s="268" t="n"/>
      <c r="X10" s="268" t="n"/>
      <c r="Y10" s="268" t="n"/>
      <c r="Z10" s="268" t="n"/>
      <c r="AA10" s="268" t="n"/>
      <c r="AB10" s="268" t="n"/>
      <c r="AC10" s="268" t="n"/>
      <c r="AD10" s="268" t="n"/>
      <c r="AE10" s="268" t="n"/>
      <c r="AF10" s="268" t="n"/>
      <c r="AG10" s="49" t="n"/>
      <c r="AH10" s="114" t="n"/>
    </row>
    <row r="11" ht="311.7000122070312" customHeight="1" s="221">
      <c r="A11" s="64" t="n"/>
      <c r="B11" s="164" t="n"/>
      <c r="C11" s="64" t="n"/>
      <c r="D11" s="58" t="n"/>
      <c r="E11" s="64" t="n"/>
      <c r="F11" s="180" t="n"/>
      <c r="G11" s="264" t="n"/>
      <c r="H11" s="64" t="n"/>
      <c r="I11" s="164" t="n"/>
      <c r="J11" s="226" t="n"/>
      <c r="K11" s="58" t="n"/>
      <c r="L11" s="265" t="n"/>
      <c r="M11" s="41" t="n"/>
      <c r="N11" s="42" t="n"/>
      <c r="O11" s="42" t="n"/>
      <c r="P11" s="42" t="n"/>
      <c r="Q11" s="266" t="n"/>
      <c r="R11" s="63" t="n"/>
      <c r="S11" s="64" t="n"/>
      <c r="T11" s="268" t="n"/>
      <c r="U11" s="269" t="n"/>
      <c r="V11" s="270" t="n"/>
      <c r="W11" s="268" t="n"/>
      <c r="X11" s="268" t="n"/>
      <c r="Y11" s="268" t="n"/>
      <c r="Z11" s="268" t="n"/>
      <c r="AA11" s="268" t="n"/>
      <c r="AB11" s="268" t="n"/>
      <c r="AC11" s="268" t="n"/>
      <c r="AD11" s="268" t="n"/>
      <c r="AE11" s="268" t="n"/>
      <c r="AF11" s="268" t="n"/>
      <c r="AG11" s="49" t="n"/>
      <c r="AH11" s="114" t="n"/>
    </row>
    <row r="12" ht="200.6999969482422" customHeight="1" s="221">
      <c r="A12" s="64" t="n"/>
      <c r="B12" s="164" t="n"/>
      <c r="C12" s="64" t="n"/>
      <c r="D12" s="58" t="n"/>
      <c r="E12" s="64" t="n"/>
      <c r="F12" s="180" t="n"/>
      <c r="G12" s="264" t="n"/>
      <c r="H12" s="64" t="n"/>
      <c r="I12" s="164" t="n"/>
      <c r="J12" s="226" t="n"/>
      <c r="K12" s="58" t="n"/>
      <c r="L12" s="265" t="n"/>
      <c r="M12" s="41" t="n"/>
      <c r="N12" s="42" t="n"/>
      <c r="O12" s="42" t="n"/>
      <c r="P12" s="42" t="n"/>
      <c r="Q12" s="266" t="n"/>
      <c r="R12" s="41" t="n"/>
      <c r="S12" s="64" t="n"/>
      <c r="T12" s="268" t="n"/>
      <c r="U12" s="269" t="n"/>
      <c r="V12" s="270" t="n"/>
      <c r="W12" s="268" t="n"/>
      <c r="X12" s="268" t="n"/>
      <c r="Y12" s="268" t="n"/>
      <c r="Z12" s="268" t="n"/>
      <c r="AA12" s="268" t="n"/>
      <c r="AB12" s="268" t="n"/>
      <c r="AC12" s="268" t="n"/>
      <c r="AD12" s="268" t="n"/>
      <c r="AE12" s="268" t="n"/>
      <c r="AF12" s="268" t="n"/>
      <c r="AG12" s="49" t="n"/>
      <c r="AH12" s="114" t="n"/>
    </row>
    <row r="13" ht="200.6999969482422" customHeight="1" s="221">
      <c r="A13" s="64" t="n"/>
      <c r="B13" s="226" t="n"/>
      <c r="C13" s="226" t="n"/>
      <c r="D13" s="226" t="n"/>
      <c r="E13" s="226" t="n"/>
      <c r="F13" s="226" t="n"/>
      <c r="G13" s="226" t="n"/>
      <c r="H13" s="64" t="n"/>
      <c r="I13" s="164" t="n"/>
      <c r="J13" s="226" t="n"/>
      <c r="K13" s="58" t="n"/>
      <c r="L13" s="265" t="n"/>
      <c r="M13" s="41" t="n"/>
      <c r="N13" s="42" t="n"/>
      <c r="O13" s="42" t="n"/>
      <c r="P13" s="42" t="n"/>
      <c r="Q13" s="266" t="n"/>
      <c r="R13" s="226" t="n"/>
      <c r="S13" s="226" t="n"/>
      <c r="T13" s="268" t="n"/>
      <c r="U13" s="269" t="n"/>
      <c r="V13" s="270" t="n"/>
      <c r="W13" s="268" t="n"/>
      <c r="X13" s="268" t="n"/>
      <c r="Y13" s="268" t="n"/>
      <c r="Z13" s="268" t="n"/>
      <c r="AA13" s="268" t="n"/>
      <c r="AB13" s="268" t="n"/>
      <c r="AC13" s="268" t="n"/>
      <c r="AD13" s="268" t="n"/>
      <c r="AE13" s="268" t="n"/>
      <c r="AF13" s="268" t="n"/>
      <c r="AG13" s="49" t="n"/>
      <c r="AH13" s="114" t="n"/>
    </row>
    <row r="14" ht="200.6999969482422" customHeight="1" s="221">
      <c r="A14" s="64" t="n"/>
      <c r="B14" s="226" t="n"/>
      <c r="C14" s="226" t="n"/>
      <c r="D14" s="226" t="n"/>
      <c r="E14" s="226" t="n"/>
      <c r="F14" s="226" t="n"/>
      <c r="G14" s="226" t="n"/>
      <c r="H14" s="64" t="n"/>
      <c r="I14" s="164" t="n"/>
      <c r="J14" s="226" t="n"/>
      <c r="K14" s="58" t="n"/>
      <c r="L14" s="265" t="n"/>
      <c r="M14" s="41" t="n"/>
      <c r="N14" s="42" t="n"/>
      <c r="O14" s="42" t="n"/>
      <c r="P14" s="42" t="n"/>
      <c r="Q14" s="266" t="n"/>
      <c r="R14" s="226" t="n"/>
      <c r="S14" s="226" t="n"/>
      <c r="T14" s="268" t="n"/>
      <c r="U14" s="269" t="n"/>
      <c r="V14" s="270" t="n"/>
      <c r="W14" s="268" t="n"/>
      <c r="X14" s="268" t="n"/>
      <c r="Y14" s="268" t="n"/>
      <c r="Z14" s="268" t="n"/>
      <c r="AA14" s="268" t="n"/>
      <c r="AB14" s="268" t="n"/>
      <c r="AC14" s="268" t="n"/>
      <c r="AD14" s="268" t="n"/>
      <c r="AE14" s="268" t="n"/>
      <c r="AF14" s="268" t="n"/>
      <c r="AG14" s="49" t="n"/>
      <c r="AH14" s="114" t="n"/>
    </row>
    <row r="15" ht="200.6999969482422" customHeight="1" s="221">
      <c r="A15" s="64" t="n"/>
      <c r="B15" s="227" t="n"/>
      <c r="C15" s="227" t="n"/>
      <c r="D15" s="227" t="n"/>
      <c r="E15" s="227" t="n"/>
      <c r="F15" s="227" t="n"/>
      <c r="G15" s="227" t="n"/>
      <c r="H15" s="64" t="n"/>
      <c r="I15" s="164" t="n"/>
      <c r="J15" s="227" t="n"/>
      <c r="K15" s="58" t="n"/>
      <c r="L15" s="265" t="n"/>
      <c r="M15" s="41" t="n"/>
      <c r="N15" s="42" t="n"/>
      <c r="O15" s="42" t="n"/>
      <c r="P15" s="42" t="n"/>
      <c r="Q15" s="266" t="n"/>
      <c r="R15" s="227" t="n"/>
      <c r="S15" s="227" t="n"/>
      <c r="T15" s="268" t="n"/>
      <c r="U15" s="269" t="n"/>
      <c r="V15" s="270" t="n"/>
      <c r="W15" s="268" t="n"/>
      <c r="X15" s="268" t="n"/>
      <c r="Y15" s="268" t="n"/>
      <c r="Z15" s="268" t="n"/>
      <c r="AA15" s="268" t="n"/>
      <c r="AB15" s="268" t="n"/>
      <c r="AC15" s="268" t="n"/>
      <c r="AD15" s="268" t="n"/>
      <c r="AE15" s="268" t="n"/>
      <c r="AF15" s="268" t="n"/>
      <c r="AG15" s="49" t="n"/>
      <c r="AH15" s="114" t="n"/>
    </row>
    <row r="16" ht="324.8999938964844" customHeight="1" s="221">
      <c r="A16" s="64" t="n"/>
      <c r="B16" s="164" t="n"/>
      <c r="C16" s="64" t="n"/>
      <c r="D16" s="72" t="n"/>
      <c r="E16" s="72" t="n"/>
      <c r="F16" s="180" t="n"/>
      <c r="G16" s="73" t="n"/>
      <c r="H16" s="64" t="n"/>
      <c r="I16" s="164" t="n"/>
      <c r="J16" s="58" t="n"/>
      <c r="K16" s="74" t="n"/>
      <c r="L16" s="265" t="n"/>
      <c r="M16" s="42" t="n"/>
      <c r="N16" s="42" t="n"/>
      <c r="O16" s="42" t="n"/>
      <c r="P16" s="42" t="n"/>
      <c r="Q16" s="266" t="n"/>
      <c r="R16" s="49" t="n"/>
      <c r="S16" s="64" t="n"/>
      <c r="T16" s="268" t="n"/>
      <c r="U16" s="269" t="n"/>
      <c r="V16" s="270" t="n"/>
      <c r="W16" s="268" t="n"/>
      <c r="X16" s="268" t="n"/>
      <c r="Y16" s="268" t="n"/>
      <c r="Z16" s="268" t="n"/>
      <c r="AA16" s="268" t="n"/>
      <c r="AB16" s="268" t="n"/>
      <c r="AC16" s="268" t="n"/>
      <c r="AD16" s="268" t="n"/>
      <c r="AE16" s="268" t="n"/>
      <c r="AF16" s="268" t="n"/>
      <c r="AG16" s="49" t="n"/>
      <c r="AH16" s="114" t="n"/>
    </row>
    <row r="17" ht="409.5" customHeight="1" s="221">
      <c r="A17" s="64" t="n"/>
      <c r="B17" s="271" t="n"/>
      <c r="D17" s="272" t="n"/>
      <c r="E17" s="272" t="n"/>
      <c r="F17" s="273" t="n"/>
      <c r="G17" s="274" t="n"/>
      <c r="H17" s="64" t="n"/>
      <c r="I17" s="164" t="n"/>
      <c r="J17" s="226" t="n"/>
      <c r="K17" s="74" t="n"/>
      <c r="L17" s="265" t="n"/>
      <c r="M17" s="42" t="n"/>
      <c r="N17" s="42" t="n"/>
      <c r="O17" s="42" t="n"/>
      <c r="P17" s="42" t="n"/>
      <c r="Q17" s="266" t="n"/>
      <c r="R17" s="49" t="n"/>
      <c r="S17" s="64" t="n"/>
      <c r="T17" s="268" t="n"/>
      <c r="U17" s="269" t="n"/>
      <c r="V17" s="270" t="n"/>
      <c r="W17" s="268" t="n"/>
      <c r="X17" s="268" t="n"/>
      <c r="Y17" s="268" t="n"/>
      <c r="Z17" s="268" t="n"/>
      <c r="AA17" s="268" t="n"/>
      <c r="AB17" s="268" t="n"/>
      <c r="AC17" s="268" t="n"/>
      <c r="AD17" s="268" t="n"/>
      <c r="AE17" s="268" t="n"/>
      <c r="AF17" s="268" t="n"/>
      <c r="AG17" s="49" t="n"/>
      <c r="AH17" s="114" t="n"/>
    </row>
    <row r="18" ht="409.5" customHeight="1" s="221">
      <c r="A18" s="64" t="n"/>
      <c r="B18" s="261" t="n"/>
      <c r="C18" s="64" t="n"/>
      <c r="D18" s="262" t="n"/>
      <c r="E18" s="262" t="n"/>
      <c r="F18" s="262" t="n"/>
      <c r="G18" s="263" t="n"/>
      <c r="H18" s="64" t="n"/>
      <c r="I18" s="164" t="n"/>
      <c r="J18" s="227" t="n"/>
      <c r="K18" s="74" t="n"/>
      <c r="L18" s="265" t="n"/>
      <c r="M18" s="42" t="n"/>
      <c r="N18" s="42" t="n"/>
      <c r="O18" s="42" t="n"/>
      <c r="P18" s="42" t="n"/>
      <c r="Q18" s="266" t="n"/>
      <c r="R18" s="49" t="n"/>
      <c r="S18" s="227" t="n"/>
      <c r="T18" s="268" t="n"/>
      <c r="U18" s="269" t="n"/>
      <c r="V18" s="270" t="n"/>
      <c r="W18" s="268" t="n"/>
      <c r="X18" s="268" t="n"/>
      <c r="Y18" s="268" t="n"/>
      <c r="Z18" s="268" t="n"/>
      <c r="AA18" s="268" t="n"/>
      <c r="AB18" s="268" t="n"/>
      <c r="AC18" s="268" t="n"/>
      <c r="AD18" s="268" t="n"/>
      <c r="AE18" s="268" t="n"/>
      <c r="AF18" s="268" t="n"/>
      <c r="AG18" s="49" t="n"/>
      <c r="AH18" s="114" t="n"/>
    </row>
    <row r="19" hidden="1" s="221">
      <c r="A19" s="64" t="n"/>
      <c r="B19" s="164" t="n"/>
      <c r="C19" s="64" t="n"/>
      <c r="D19" s="64" t="n"/>
      <c r="E19" s="64" t="n"/>
      <c r="F19" s="64" t="n"/>
      <c r="G19" s="264" t="n"/>
      <c r="H19" s="64" t="n"/>
      <c r="I19" s="64" t="n"/>
      <c r="J19" s="64" t="n"/>
      <c r="K19" s="42" t="n"/>
      <c r="L19" s="265" t="n"/>
      <c r="M19" s="42" t="n"/>
      <c r="N19" s="42" t="n"/>
      <c r="O19" s="42" t="n"/>
      <c r="P19" s="42" t="n"/>
      <c r="Q19" s="266" t="n"/>
      <c r="R19" s="49" t="n"/>
      <c r="S19" s="49" t="n"/>
      <c r="T19" s="268" t="n"/>
      <c r="U19" s="269" t="n"/>
      <c r="V19" s="270" t="n"/>
      <c r="W19" s="268" t="n"/>
      <c r="X19" s="268" t="n"/>
      <c r="Y19" s="268" t="n"/>
      <c r="Z19" s="268" t="n"/>
      <c r="AA19" s="268" t="n"/>
      <c r="AB19" s="268" t="n"/>
      <c r="AC19" s="268" t="n"/>
      <c r="AD19" s="268" t="n"/>
      <c r="AE19" s="268" t="n"/>
      <c r="AF19" s="268" t="n"/>
      <c r="AG19" s="49" t="n"/>
      <c r="AH19" s="114" t="n"/>
    </row>
    <row r="20" hidden="1" s="221">
      <c r="A20" s="64" t="n"/>
      <c r="B20" s="164" t="n"/>
      <c r="C20" s="64" t="n"/>
      <c r="D20" s="64" t="n"/>
      <c r="E20" s="64" t="n"/>
      <c r="F20" s="64" t="n"/>
      <c r="G20" s="264" t="n"/>
      <c r="H20" s="64" t="n"/>
      <c r="I20" s="64" t="n"/>
      <c r="J20" s="64" t="n"/>
      <c r="K20" s="42" t="n"/>
      <c r="L20" s="265" t="n"/>
      <c r="M20" s="42" t="n"/>
      <c r="N20" s="42" t="n"/>
      <c r="O20" s="42" t="n"/>
      <c r="P20" s="42" t="n"/>
      <c r="Q20" s="266" t="n"/>
      <c r="R20" s="49" t="n"/>
      <c r="S20" s="49" t="n"/>
      <c r="T20" s="268" t="n"/>
      <c r="U20" s="269" t="n"/>
      <c r="V20" s="270" t="n"/>
      <c r="W20" s="268" t="n"/>
      <c r="X20" s="268" t="n"/>
      <c r="Y20" s="268" t="n"/>
      <c r="Z20" s="268" t="n"/>
      <c r="AA20" s="268" t="n"/>
      <c r="AB20" s="268" t="n"/>
      <c r="AC20" s="268" t="n"/>
      <c r="AD20" s="268" t="n"/>
      <c r="AE20" s="268" t="n"/>
      <c r="AF20" s="268" t="n"/>
      <c r="AG20" s="49" t="n"/>
      <c r="AH20" s="114" t="n"/>
    </row>
    <row r="21" hidden="1" s="221">
      <c r="A21" s="64" t="n"/>
      <c r="B21" s="164" t="n"/>
      <c r="C21" s="64" t="n"/>
      <c r="D21" s="64" t="n"/>
      <c r="E21" s="64" t="n"/>
      <c r="F21" s="64" t="n"/>
      <c r="G21" s="264" t="n"/>
      <c r="H21" s="64" t="n"/>
      <c r="I21" s="64" t="n"/>
      <c r="J21" s="64" t="n"/>
      <c r="K21" s="42" t="n"/>
      <c r="L21" s="265" t="n"/>
      <c r="M21" s="42" t="n"/>
      <c r="N21" s="42" t="n"/>
      <c r="O21" s="42" t="n"/>
      <c r="P21" s="42" t="n"/>
      <c r="Q21" s="266" t="n"/>
      <c r="R21" s="49" t="n"/>
      <c r="S21" s="49" t="n"/>
      <c r="T21" s="268" t="n"/>
      <c r="U21" s="269" t="n"/>
      <c r="V21" s="270" t="n"/>
      <c r="W21" s="268" t="n"/>
      <c r="X21" s="268" t="n"/>
      <c r="Y21" s="268" t="n"/>
      <c r="Z21" s="268" t="n"/>
      <c r="AA21" s="268" t="n"/>
      <c r="AB21" s="268" t="n"/>
      <c r="AC21" s="268" t="n"/>
      <c r="AD21" s="268" t="n"/>
      <c r="AE21" s="268" t="n"/>
      <c r="AF21" s="268" t="n"/>
      <c r="AG21" s="49" t="n"/>
      <c r="AH21" s="114" t="n"/>
    </row>
    <row r="22" hidden="1" s="221">
      <c r="A22" s="64" t="n"/>
      <c r="B22" s="164" t="n"/>
      <c r="C22" s="64" t="n"/>
      <c r="D22" s="64" t="n"/>
      <c r="E22" s="64" t="n"/>
      <c r="F22" s="64" t="n"/>
      <c r="G22" s="264" t="n"/>
      <c r="H22" s="64" t="n"/>
      <c r="I22" s="64" t="n"/>
      <c r="J22" s="64" t="n"/>
      <c r="K22" s="42" t="n"/>
      <c r="L22" s="265" t="n"/>
      <c r="M22" s="42" t="n"/>
      <c r="N22" s="42" t="n"/>
      <c r="O22" s="42" t="n"/>
      <c r="P22" s="42" t="n"/>
      <c r="Q22" s="266" t="n"/>
      <c r="R22" s="49" t="n"/>
      <c r="S22" s="49" t="n"/>
      <c r="T22" s="268" t="n"/>
      <c r="U22" s="269" t="n"/>
      <c r="V22" s="270" t="n"/>
      <c r="W22" s="268" t="n"/>
      <c r="X22" s="268" t="n"/>
      <c r="Y22" s="268" t="n"/>
      <c r="Z22" s="268" t="n"/>
      <c r="AA22" s="268" t="n"/>
      <c r="AB22" s="268" t="n"/>
      <c r="AC22" s="268" t="n"/>
      <c r="AD22" s="268" t="n"/>
      <c r="AE22" s="268" t="n"/>
      <c r="AF22" s="268" t="n"/>
      <c r="AG22" s="49" t="n"/>
      <c r="AH22" s="114" t="n"/>
    </row>
    <row r="23" hidden="1" s="221">
      <c r="A23" s="64" t="n"/>
      <c r="B23" s="164" t="n"/>
      <c r="C23" s="64" t="n"/>
      <c r="D23" s="64" t="n"/>
      <c r="E23" s="64" t="n"/>
      <c r="F23" s="64" t="n"/>
      <c r="G23" s="264" t="n"/>
      <c r="H23" s="64" t="n"/>
      <c r="I23" s="64" t="n"/>
      <c r="J23" s="64" t="n"/>
      <c r="K23" s="42" t="n"/>
      <c r="L23" s="265" t="n"/>
      <c r="M23" s="42" t="n"/>
      <c r="N23" s="42" t="n"/>
      <c r="O23" s="42" t="n"/>
      <c r="P23" s="42" t="n"/>
      <c r="Q23" s="266" t="n"/>
      <c r="R23" s="49" t="n"/>
      <c r="S23" s="49" t="n"/>
      <c r="T23" s="268" t="n"/>
      <c r="U23" s="269" t="n"/>
      <c r="V23" s="270" t="n"/>
      <c r="W23" s="268" t="n"/>
      <c r="X23" s="268" t="n"/>
      <c r="Y23" s="268" t="n"/>
      <c r="Z23" s="268" t="n"/>
      <c r="AA23" s="268" t="n"/>
      <c r="AB23" s="268" t="n"/>
      <c r="AC23" s="268" t="n"/>
      <c r="AD23" s="268" t="n"/>
      <c r="AE23" s="268" t="n"/>
      <c r="AF23" s="268" t="n"/>
      <c r="AG23" s="49" t="n"/>
      <c r="AH23" s="114" t="n"/>
    </row>
    <row r="24" hidden="1" s="221">
      <c r="A24" s="64" t="n"/>
      <c r="B24" s="164" t="n"/>
      <c r="C24" s="64" t="n"/>
      <c r="D24" s="64" t="n"/>
      <c r="E24" s="64" t="n"/>
      <c r="F24" s="64" t="n"/>
      <c r="G24" s="264" t="n"/>
      <c r="H24" s="64" t="n"/>
      <c r="I24" s="64" t="n"/>
      <c r="J24" s="64" t="n"/>
      <c r="K24" s="42" t="n"/>
      <c r="L24" s="265" t="n"/>
      <c r="M24" s="42" t="n"/>
      <c r="N24" s="42" t="n"/>
      <c r="O24" s="42" t="n"/>
      <c r="P24" s="42" t="n"/>
      <c r="Q24" s="266" t="n"/>
      <c r="R24" s="49" t="n"/>
      <c r="S24" s="49" t="n"/>
      <c r="T24" s="268" t="n"/>
      <c r="U24" s="269" t="n"/>
      <c r="V24" s="270" t="n"/>
      <c r="W24" s="268" t="n"/>
      <c r="X24" s="268" t="n"/>
      <c r="Y24" s="268" t="n"/>
      <c r="Z24" s="268" t="n"/>
      <c r="AA24" s="268" t="n"/>
      <c r="AB24" s="268" t="n"/>
      <c r="AC24" s="268" t="n"/>
      <c r="AD24" s="268" t="n"/>
      <c r="AE24" s="268" t="n"/>
      <c r="AF24" s="268" t="n"/>
      <c r="AG24" s="49" t="n"/>
      <c r="AH24" s="114" t="n"/>
    </row>
    <row r="25" hidden="1" s="221">
      <c r="A25" s="64" t="n"/>
      <c r="B25" s="164" t="n"/>
      <c r="C25" s="64" t="n"/>
      <c r="D25" s="64" t="n"/>
      <c r="E25" s="64" t="n"/>
      <c r="F25" s="64" t="n"/>
      <c r="G25" s="264" t="n"/>
      <c r="H25" s="64" t="n"/>
      <c r="I25" s="64" t="n"/>
      <c r="J25" s="64" t="n"/>
      <c r="K25" s="42" t="n"/>
      <c r="L25" s="265" t="n"/>
      <c r="M25" s="42" t="n"/>
      <c r="N25" s="42" t="n"/>
      <c r="O25" s="42" t="n"/>
      <c r="P25" s="42" t="n"/>
      <c r="Q25" s="266" t="n"/>
      <c r="R25" s="49" t="n"/>
      <c r="S25" s="49" t="n"/>
      <c r="T25" s="268" t="n"/>
      <c r="U25" s="269" t="n"/>
      <c r="V25" s="270" t="n"/>
      <c r="W25" s="268" t="n"/>
      <c r="X25" s="268" t="n"/>
      <c r="Y25" s="268" t="n"/>
      <c r="Z25" s="268" t="n"/>
      <c r="AA25" s="268" t="n"/>
      <c r="AB25" s="268" t="n"/>
      <c r="AC25" s="268" t="n"/>
      <c r="AD25" s="268" t="n"/>
      <c r="AE25" s="268" t="n"/>
      <c r="AF25" s="268" t="n"/>
      <c r="AG25" s="49" t="n"/>
      <c r="AH25" s="114" t="n"/>
    </row>
    <row r="26" hidden="1" s="221">
      <c r="A26" s="64" t="n"/>
      <c r="B26" s="164" t="n"/>
      <c r="C26" s="64" t="n"/>
      <c r="D26" s="64" t="n"/>
      <c r="E26" s="64" t="n"/>
      <c r="F26" s="64" t="n"/>
      <c r="G26" s="264" t="n"/>
      <c r="H26" s="64" t="n"/>
      <c r="I26" s="64" t="n"/>
      <c r="J26" s="64" t="n"/>
      <c r="K26" s="42" t="n"/>
      <c r="L26" s="265" t="n"/>
      <c r="M26" s="265" t="n"/>
      <c r="N26" s="42" t="n"/>
      <c r="O26" s="42" t="n"/>
      <c r="P26" s="42" t="n"/>
      <c r="Q26" s="266" t="n"/>
      <c r="R26" s="49" t="n"/>
      <c r="S26" s="49" t="n"/>
      <c r="T26" s="268" t="n"/>
      <c r="U26" s="269" t="n"/>
      <c r="V26" s="270" t="n"/>
      <c r="W26" s="268" t="n"/>
      <c r="X26" s="268" t="n"/>
      <c r="Y26" s="268" t="n"/>
      <c r="Z26" s="268" t="n"/>
      <c r="AA26" s="268" t="n"/>
      <c r="AB26" s="268" t="n"/>
      <c r="AC26" s="268" t="n"/>
      <c r="AD26" s="268" t="n"/>
      <c r="AE26" s="268" t="n"/>
      <c r="AF26" s="268" t="n"/>
      <c r="AG26" s="49" t="n"/>
      <c r="AH26" s="114" t="n"/>
    </row>
    <row r="27" s="221">
      <c r="A27" s="64" t="n"/>
      <c r="B27" s="164" t="n"/>
      <c r="C27" s="64" t="n"/>
      <c r="D27" s="64" t="n"/>
      <c r="E27" s="64" t="n"/>
      <c r="F27" s="64" t="n"/>
      <c r="G27" s="264" t="n"/>
      <c r="H27" s="64" t="n"/>
      <c r="I27" s="64" t="n"/>
      <c r="J27" s="64" t="n"/>
      <c r="K27" s="42" t="n"/>
      <c r="L27" s="265" t="n"/>
      <c r="M27" s="265" t="n"/>
      <c r="N27" s="42" t="n"/>
      <c r="O27" s="42" t="n"/>
      <c r="P27" s="42" t="n"/>
      <c r="Q27" s="266" t="n"/>
      <c r="R27" s="49" t="n"/>
      <c r="S27" s="49" t="n"/>
      <c r="T27" s="268" t="n"/>
      <c r="U27" s="269" t="n"/>
      <c r="V27" s="270" t="n"/>
      <c r="W27" s="268" t="n"/>
      <c r="X27" s="268" t="n"/>
      <c r="Y27" s="268" t="n"/>
      <c r="Z27" s="268" t="n"/>
      <c r="AA27" s="268" t="n"/>
      <c r="AB27" s="268" t="n"/>
      <c r="AC27" s="268" t="n"/>
      <c r="AD27" s="268" t="n"/>
      <c r="AE27" s="268" t="n"/>
      <c r="AF27" s="268" t="n"/>
      <c r="AG27" s="49" t="n"/>
      <c r="AH27" s="114" t="n"/>
    </row>
    <row r="28" s="221">
      <c r="A28" s="14" t="n"/>
      <c r="B28" s="225" t="n"/>
      <c r="C28" s="14" t="n"/>
      <c r="D28" s="14" t="n"/>
      <c r="E28" s="14" t="n"/>
      <c r="F28" s="14" t="n"/>
      <c r="G28" s="258" t="n"/>
      <c r="H28" s="256" t="n"/>
      <c r="I28" s="256" t="n"/>
      <c r="J28" s="256" t="n"/>
      <c r="K28" s="256" t="n"/>
      <c r="L28" s="258" t="n"/>
      <c r="M28" s="256" t="n"/>
      <c r="N28" s="256" t="n"/>
      <c r="O28" s="256" t="n"/>
      <c r="P28" s="256" t="n"/>
      <c r="Q28" s="275" t="n"/>
      <c r="R28" s="256" t="n"/>
      <c r="S28" s="256" t="n"/>
      <c r="T28" s="256" t="n"/>
      <c r="U28" s="275" t="n"/>
      <c r="V28" s="256" t="n"/>
      <c r="W28" s="256" t="n"/>
      <c r="X28" s="256" t="n"/>
      <c r="Y28" s="256" t="n"/>
      <c r="Z28" s="256" t="n"/>
      <c r="AA28" s="256" t="n"/>
      <c r="AB28" s="256" t="n"/>
      <c r="AC28" s="256" t="n"/>
      <c r="AD28" s="256" t="n"/>
      <c r="AE28" s="256" t="n"/>
      <c r="AF28" s="256" t="n"/>
      <c r="AG28" s="256" t="n"/>
      <c r="AH28" s="114" t="n"/>
    </row>
    <row r="29" s="221">
      <c r="A29" s="14" t="n"/>
      <c r="B29" s="224" t="n"/>
      <c r="C29" s="224" t="n"/>
      <c r="D29" s="224" t="n"/>
      <c r="E29" s="224" t="n"/>
      <c r="F29" s="225" t="n"/>
      <c r="G29" s="276" t="n"/>
      <c r="H29" s="277" t="n"/>
      <c r="I29" s="259" t="n"/>
      <c r="J29" s="259" t="n"/>
      <c r="K29" s="259" t="n"/>
      <c r="L29" s="259" t="n"/>
      <c r="M29" s="259" t="n"/>
      <c r="N29" s="259" t="n"/>
      <c r="O29" s="259" t="n"/>
      <c r="P29" s="259" t="n"/>
      <c r="Q29" s="259" t="n"/>
      <c r="R29" s="259" t="n"/>
      <c r="S29" s="259" t="n"/>
      <c r="T29" s="259" t="n"/>
      <c r="U29" s="259" t="n"/>
      <c r="V29" s="259" t="n"/>
      <c r="W29" s="259" t="n"/>
      <c r="X29" s="259" t="n"/>
      <c r="Y29" s="259" t="n"/>
      <c r="Z29" s="259" t="n"/>
      <c r="AA29" s="259" t="n"/>
      <c r="AB29" s="259" t="n"/>
      <c r="AC29" s="259" t="n"/>
      <c r="AD29" s="259" t="n"/>
      <c r="AE29" s="259" t="n"/>
      <c r="AF29" s="259" t="n"/>
      <c r="AG29" s="260" t="n"/>
      <c r="AH29" s="114" t="n"/>
    </row>
    <row r="30" s="221">
      <c r="A30" s="14" t="n"/>
      <c r="B30" s="224" t="n"/>
      <c r="C30" s="224" t="n"/>
      <c r="D30" s="224" t="n"/>
      <c r="E30" s="224" t="n"/>
      <c r="F30" s="225" t="n"/>
      <c r="G30" s="93" t="n"/>
      <c r="H30" s="261" t="n"/>
      <c r="I30" s="262" t="n"/>
      <c r="J30" s="262" t="n"/>
      <c r="K30" s="262" t="n"/>
      <c r="L30" s="262" t="n"/>
      <c r="M30" s="262" t="n"/>
      <c r="N30" s="262" t="n"/>
      <c r="O30" s="262" t="n"/>
      <c r="P30" s="262" t="n"/>
      <c r="Q30" s="262" t="n"/>
      <c r="R30" s="262" t="n"/>
      <c r="S30" s="262" t="n"/>
      <c r="T30" s="262" t="n"/>
      <c r="U30" s="262" t="n"/>
      <c r="V30" s="262" t="n"/>
      <c r="W30" s="262" t="n"/>
      <c r="X30" s="262" t="n"/>
      <c r="Y30" s="262" t="n"/>
      <c r="Z30" s="262" t="n"/>
      <c r="AA30" s="262" t="n"/>
      <c r="AB30" s="262" t="n"/>
      <c r="AC30" s="262" t="n"/>
      <c r="AD30" s="262" t="n"/>
      <c r="AE30" s="262" t="n"/>
      <c r="AF30" s="262" t="n"/>
      <c r="AG30" s="263" t="n"/>
      <c r="AH30" s="114" t="n"/>
    </row>
    <row r="31" s="221">
      <c r="A31" s="97" t="n"/>
      <c r="B31" s="114" t="n"/>
      <c r="C31" s="200" t="n"/>
      <c r="D31" s="200" t="n"/>
      <c r="E31" s="200" t="n"/>
      <c r="F31" s="200" t="n"/>
      <c r="G31" s="200" t="n"/>
      <c r="H31" s="200" t="n"/>
      <c r="I31" s="200" t="n"/>
      <c r="J31" s="200" t="n"/>
      <c r="K31" s="200" t="n"/>
      <c r="L31" s="200" t="n"/>
      <c r="M31" s="200" t="n"/>
      <c r="N31" s="200" t="n"/>
      <c r="O31" s="200" t="n"/>
      <c r="P31" s="200" t="n"/>
      <c r="Q31" s="200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  <c r="AB31" s="114" t="n"/>
      <c r="AC31" s="114" t="n"/>
      <c r="AD31" s="114" t="n"/>
      <c r="AE31" s="114" t="n"/>
      <c r="AF31" s="114" t="n"/>
      <c r="AG31" s="101" t="n"/>
      <c r="AH31" s="114" t="n"/>
    </row>
    <row r="32" s="221">
      <c r="A32" s="199" t="n"/>
      <c r="B32" s="103" t="n"/>
      <c r="C32" s="104" t="n"/>
      <c r="D32" s="104" t="n"/>
      <c r="E32" s="105" t="n"/>
      <c r="F32" s="105" t="n"/>
      <c r="G32" s="104" t="n"/>
      <c r="H32" s="114" t="n"/>
      <c r="I32" s="10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14" t="n"/>
      <c r="AF32" s="114" t="n"/>
      <c r="AG32" s="101" t="n"/>
      <c r="AH32" s="114" t="n"/>
    </row>
    <row r="33" s="221">
      <c r="A33" s="107" t="n"/>
      <c r="C33" s="108" t="n"/>
      <c r="D33" s="262" t="n"/>
      <c r="E33" s="262" t="n"/>
      <c r="F33" s="262" t="n"/>
      <c r="G33" s="262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2" t="n"/>
      <c r="AH33" s="114" t="n"/>
    </row>
    <row r="34" s="221">
      <c r="A34" s="114" t="n"/>
      <c r="B34" s="114" t="n"/>
      <c r="C34" s="114" t="n"/>
      <c r="D34" s="114" t="n"/>
      <c r="E34" s="114" t="n"/>
      <c r="F34" s="114" t="n"/>
      <c r="G34" s="113" t="n"/>
      <c r="H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  <c r="AB34" s="114" t="n"/>
      <c r="AC34" s="114" t="n"/>
      <c r="AD34" s="114" t="n"/>
      <c r="AE34" s="114" t="n"/>
      <c r="AF34" s="114" t="n"/>
      <c r="AG34" s="114" t="n"/>
      <c r="AH34" s="114" t="n"/>
    </row>
    <row r="35" s="221">
      <c r="A35" s="114" t="n"/>
      <c r="B35" s="114" t="n"/>
      <c r="C35" s="114" t="n"/>
      <c r="D35" s="114" t="n"/>
      <c r="E35" s="114" t="n"/>
      <c r="F35" s="114" t="n"/>
      <c r="H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  <c r="AB35" s="114" t="n"/>
      <c r="AC35" s="114" t="n"/>
      <c r="AD35" s="114" t="n"/>
      <c r="AE35" s="114" t="n"/>
      <c r="AF35" s="114" t="n"/>
      <c r="AG35" s="114" t="n"/>
      <c r="AH35" s="114" t="n"/>
    </row>
    <row r="36" s="221">
      <c r="A36" s="113" t="n"/>
      <c r="B36" s="114" t="n"/>
      <c r="C36" s="114" t="n"/>
      <c r="D36" s="114" t="n"/>
      <c r="E36" s="116" t="n"/>
      <c r="F36" s="116" t="n"/>
      <c r="H36" s="116" t="n"/>
      <c r="I36" s="114" t="n"/>
      <c r="J36" s="116" t="n"/>
      <c r="K36" s="116" t="n"/>
      <c r="L36" s="116" t="n"/>
      <c r="M36" s="116" t="n"/>
      <c r="N36" s="116" t="n"/>
      <c r="O36" s="116" t="n"/>
      <c r="P36" s="116" t="n"/>
      <c r="Q36" s="116" t="n"/>
      <c r="R36" s="116" t="n"/>
      <c r="S36" s="116" t="n"/>
      <c r="T36" s="116" t="n"/>
      <c r="U36" s="116" t="n"/>
      <c r="V36" s="116" t="n"/>
      <c r="W36" s="116" t="n"/>
      <c r="X36" s="116" t="n"/>
      <c r="Y36" s="116" t="n"/>
      <c r="Z36" s="116" t="n"/>
      <c r="AA36" s="116" t="n"/>
      <c r="AB36" s="116" t="n"/>
      <c r="AC36" s="116" t="n"/>
      <c r="AD36" s="116" t="n"/>
      <c r="AE36" s="116" t="n"/>
      <c r="AF36" s="116" t="n"/>
      <c r="AG36" s="116" t="n"/>
      <c r="AH36" s="116" t="n"/>
    </row>
    <row r="37" s="221">
      <c r="A37" s="113" t="n"/>
    </row>
  </sheetData>
  <mergeCells count="38">
    <mergeCell ref="E17:E18"/>
    <mergeCell ref="G17:G18"/>
    <mergeCell ref="B12:B15"/>
    <mergeCell ref="B17:B18"/>
    <mergeCell ref="C33:G33"/>
    <mergeCell ref="J16:J18"/>
    <mergeCell ref="D17:D18"/>
    <mergeCell ref="G7:G8"/>
    <mergeCell ref="S12:S15"/>
    <mergeCell ref="S17:S18"/>
    <mergeCell ref="R7:R10"/>
    <mergeCell ref="H4:U4"/>
    <mergeCell ref="R5:U5"/>
    <mergeCell ref="F12:F15"/>
    <mergeCell ref="W4:AF4"/>
    <mergeCell ref="J7:J15"/>
    <mergeCell ref="F17:F18"/>
    <mergeCell ref="D7:D8"/>
    <mergeCell ref="C12:C15"/>
    <mergeCell ref="R12:R15"/>
    <mergeCell ref="S7:S10"/>
    <mergeCell ref="A29:F29"/>
    <mergeCell ref="AG4:AG6"/>
    <mergeCell ref="H5:M5"/>
    <mergeCell ref="D12:D15"/>
    <mergeCell ref="A4:G5"/>
    <mergeCell ref="E7:E8"/>
    <mergeCell ref="A30:F30"/>
    <mergeCell ref="AC5:AF5"/>
    <mergeCell ref="V4:V6"/>
    <mergeCell ref="N5:Q5"/>
    <mergeCell ref="A28:B28"/>
    <mergeCell ref="E12:E15"/>
    <mergeCell ref="W5:AB5"/>
    <mergeCell ref="B7:B8"/>
    <mergeCell ref="G12:G15"/>
    <mergeCell ref="H29:AG30"/>
    <mergeCell ref="F7:F8"/>
  </mergeCells>
  <dataValidations count="2">
    <dataValidation sqref="C33" showDropDown="0" showInputMessage="0" showErrorMessage="0" allowBlank="1" type="list">
      <formula1>$A$36:$A$37</formula1>
    </dataValidation>
    <dataValidation sqref="W7:AF27" showDropDown="0" showInputMessage="1" showErrorMessage="1" allowBlank="1" type="list">
      <formula1>"√,×"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2026-06-21T08:12:37Z</dcterms:created>
  <dcterms:modified xmlns:dcterms="http://purl.org/dc/terms/" xmlns:xsi="http://www.w3.org/2001/XMLSchema-instance" xsi:type="dcterms:W3CDTF">2026-06-21T08:12:38Z</dcterms:modified>
</cp:coreProperties>
</file>